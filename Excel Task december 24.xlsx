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 state="visible" name="Dashboard" sheetId="2" r:id="rId5"/>
  </sheets>
  <definedNames>
    <definedName hidden="1" localSheetId="1" name="Z_1560A757_E51B_4F09_83E6_3BF351DEFE17_.wvu.FilterData">Dashboard!$A$2:$E$3402</definedName>
    <definedName name="SlicerCache_Table_1_Col_4">#N/A</definedName>
    <definedName name="SlicerCache_Table_1_Col_5">#N/A</definedName>
  </definedNames>
  <calcPr/>
  <customWorkbookViews>
    <customWorkbookView activeSheetId="0" maximized="1" windowHeight="0" windowWidth="0" guid="{1560A757-E51B-4F09-83E6-3BF351DEFE17}" name="Filter 1"/>
  </customWorkbookViews>
  <pivotCaches>
    <pivotCache cacheId="0" r:id="rId6"/>
  </pivotCaches>
  <extLst>
    <ext uri="{46BE6895-7355-4a93-B00E-2C351335B9C9}">
      <x15:slicerCaches>
        <x14:slicerCache r:id="rId7"/>
        <x14:slicerCache r:id="rId8"/>
      </x15:slicerCaches>
    </ext>
  </extLst>
</workbook>
</file>

<file path=xl/sharedStrings.xml><?xml version="1.0" encoding="utf-8"?>
<sst xmlns="http://schemas.openxmlformats.org/spreadsheetml/2006/main" count="9961" uniqueCount="2960">
  <si>
    <t>Tasks</t>
  </si>
  <si>
    <t>Answers</t>
  </si>
  <si>
    <t>Fill This Information</t>
  </si>
  <si>
    <r>
      <rPr>
        <rFont val="&quot;Open Sans&quot;"/>
        <b/>
        <color rgb="FF242424"/>
        <sz val="20.0"/>
      </rPr>
      <t xml:space="preserve">Instructions
</t>
    </r>
    <r>
      <rPr>
        <rFont val="&quot;Open Sans&quot;"/>
        <b val="0"/>
        <color rgb="FF242424"/>
        <sz val="11.0"/>
      </rPr>
      <t xml:space="preserve">
</t>
    </r>
    <r>
      <rPr>
        <rFont val="&quot;Open Sans&quot;"/>
        <b/>
        <color rgb="FF242424"/>
        <sz val="11.0"/>
      </rPr>
      <t xml:space="preserve">Note: </t>
    </r>
    <r>
      <rPr>
        <rFont val="&quot;Open Sans&quot;"/>
        <b val="0"/>
        <color rgb="FF242424"/>
        <sz val="11.0"/>
      </rPr>
      <t xml:space="preserve">This preview question is </t>
    </r>
    <r>
      <rPr>
        <rFont val="&quot;Open Sans&quot;"/>
        <b/>
        <color rgb="FF242424"/>
        <sz val="11.0"/>
      </rPr>
      <t>View only. Duplicate the Sheet and use your name as the sheet name . Ex: XYZ- Assessment</t>
    </r>
    <r>
      <rPr>
        <rFont val="&quot;Open Sans&quot;"/>
        <b val="0"/>
        <color rgb="FF242424"/>
        <sz val="11.0"/>
      </rPr>
      <t xml:space="preserve">
</t>
    </r>
    <r>
      <rPr>
        <rFont val="&quot;Open Sans&quot;"/>
        <b/>
        <color rgb="FF242424"/>
        <sz val="11.0"/>
      </rPr>
      <t>Task</t>
    </r>
    <r>
      <rPr>
        <rFont val="&quot;Open Sans&quot;"/>
        <b val="0"/>
        <color rgb="FF242424"/>
        <sz val="11.0"/>
      </rPr>
      <t xml:space="preserve">: Complete all the tasks outlined in the </t>
    </r>
    <r>
      <rPr>
        <rFont val="&quot;Open Sans&quot;"/>
        <b/>
        <color rgb="FF242424"/>
        <sz val="11.0"/>
      </rPr>
      <t>Tasks</t>
    </r>
    <r>
      <rPr>
        <rFont val="&quot;Open Sans&quot;"/>
        <b val="0"/>
        <color rgb="FF242424"/>
        <sz val="11.0"/>
      </rPr>
      <t xml:space="preserve"> table using the Information provided in </t>
    </r>
    <r>
      <rPr>
        <rFont val="&quot;Open Sans&quot;"/>
        <b/>
        <color rgb="FF242424"/>
        <sz val="11.0"/>
      </rPr>
      <t xml:space="preserve">Database </t>
    </r>
    <r>
      <rPr>
        <rFont val="&quot;Open Sans&quot;"/>
        <b val="0"/>
        <color rgb="FF242424"/>
        <sz val="11.0"/>
      </rPr>
      <t xml:space="preserve"> . You should enter your responses in the green cells in the </t>
    </r>
    <r>
      <rPr>
        <rFont val="&quot;Open Sans&quot;"/>
        <b/>
        <color rgb="FF242424"/>
        <sz val="11.0"/>
      </rPr>
      <t>Tasks</t>
    </r>
    <r>
      <rPr>
        <rFont val="&quot;Open Sans&quot;"/>
        <b val="0"/>
        <color rgb="FF242424"/>
        <sz val="11.0"/>
      </rPr>
      <t xml:space="preserve"> table.
</t>
    </r>
    <r>
      <rPr>
        <rFont val="&quot;Open Sans&quot;"/>
        <b/>
        <color rgb="FF242424"/>
        <sz val="11.0"/>
      </rPr>
      <t xml:space="preserve">Make sure to provide Anyone with the Edit access.
You cannot: </t>
    </r>
    <r>
      <rPr>
        <rFont val="&quot;Open Sans&quot;"/>
        <b val="0"/>
        <color rgb="FF242424"/>
        <sz val="11.0"/>
      </rPr>
      <t xml:space="preserve">
●  Add or remove columns or rows in either the Tasks table or the databases. </t>
    </r>
  </si>
  <si>
    <t>Complete the following set of tasks by updating Database 1 and adding any formulas you use in the shaded cells.</t>
  </si>
  <si>
    <t>Product Id</t>
  </si>
  <si>
    <t>Sales Rep</t>
  </si>
  <si>
    <t>Total Price</t>
  </si>
  <si>
    <t>Customer ID</t>
  </si>
  <si>
    <t>Write a formula to calculate the total quantity sold by 'Francis' in November 2022 using the payment method 'Credit'</t>
  </si>
  <si>
    <t>98-957-5791</t>
  </si>
  <si>
    <t>Write a formula to find the highest purchase quantity on the earliest purchase date from Database 1</t>
  </si>
  <si>
    <t>13-605-8213</t>
  </si>
  <si>
    <t>Write a formula to calculate the number of unique customers who purchased products with a Product ID greater than 3, less than 100, and with purchase dates after June 2022.</t>
  </si>
  <si>
    <t>52-281-8570</t>
  </si>
  <si>
    <t>Fillup the Collum P:R by using Three different formula based on the data given on column S</t>
  </si>
  <si>
    <t>Answer on P:R</t>
  </si>
  <si>
    <t>66-756-1821</t>
  </si>
  <si>
    <r>
      <rPr>
        <rFont val="&quot;Open Sans&quot;"/>
        <color rgb="FF242424"/>
      </rPr>
      <t xml:space="preserve">Make a New tab in this sheet titled "Dashboard"  &amp; create a dynamic table visualizing the Sales Rep, Product ID , Total price, Customer ID collum . "Use Purchase Date"  as date range and  "Payment method" as Dynamic filter Box. Example: </t>
    </r>
    <r>
      <rPr>
        <rFont val="&quot;Open Sans&quot;"/>
        <color rgb="FF1155CC"/>
        <u/>
      </rPr>
      <t>https://prnt.sc/F3kyiOAEHG-X</t>
    </r>
    <r>
      <rPr>
        <rFont val="&quot;Open Sans&quot;"/>
        <color rgb="FF242424"/>
      </rPr>
      <t xml:space="preserve"> </t>
    </r>
  </si>
  <si>
    <t>Answer on Dashboard Tab</t>
  </si>
  <si>
    <t>50-075-6130</t>
  </si>
  <si>
    <t>07-704-3255</t>
  </si>
  <si>
    <r>
      <rPr>
        <rFont val="Open Sans"/>
        <color rgb="FF434343"/>
      </rPr>
      <t xml:space="preserve">The company is offering customers a discount on their next order if they purchased the minimum quantity of certain products in any previous order. Use </t>
    </r>
    <r>
      <rPr>
        <rFont val="Open Sans"/>
        <b/>
        <color rgb="FF434343"/>
      </rPr>
      <t>Database 2 (</t>
    </r>
    <r>
      <rPr>
        <rFont val="Open Sans"/>
        <color rgb="FF434343"/>
      </rPr>
      <t>L15:N21) to complete column J, indicating whether a customer should be offered a discount (</t>
    </r>
    <r>
      <rPr>
        <rFont val="Open Sans"/>
        <b/>
        <i/>
        <color rgb="FF434343"/>
      </rPr>
      <t>Yes</t>
    </r>
    <r>
      <rPr>
        <rFont val="Open Sans"/>
        <i/>
        <color rgb="FF434343"/>
      </rPr>
      <t xml:space="preserve"> Should be colored Green And </t>
    </r>
    <r>
      <rPr>
        <rFont val="Open Sans"/>
        <b/>
        <i/>
        <color rgb="FF434343"/>
      </rPr>
      <t>No</t>
    </r>
    <r>
      <rPr>
        <rFont val="Open Sans"/>
        <i/>
        <color rgb="FF434343"/>
      </rPr>
      <t xml:space="preserve"> should be Red</t>
    </r>
    <r>
      <rPr>
        <rFont val="Open Sans"/>
        <color rgb="FF434343"/>
      </rPr>
      <t>)</t>
    </r>
  </si>
  <si>
    <t>Fill up J14:J1012 with 
Yes or No</t>
  </si>
  <si>
    <t>07-983-9515</t>
  </si>
  <si>
    <t>13-520-0875</t>
  </si>
  <si>
    <t>Database</t>
  </si>
  <si>
    <t>74-665-2031</t>
  </si>
  <si>
    <t>06-027-9224</t>
  </si>
  <si>
    <t>Purchase date</t>
  </si>
  <si>
    <t>Product ID</t>
  </si>
  <si>
    <t>Quantity</t>
  </si>
  <si>
    <t>Unit Price</t>
  </si>
  <si>
    <t>Payment Method</t>
  </si>
  <si>
    <t>Eligible for Discount</t>
  </si>
  <si>
    <t>73-274-1336</t>
  </si>
  <si>
    <t>74-395-6959</t>
  </si>
  <si>
    <t>Frankie</t>
  </si>
  <si>
    <t>Cash</t>
  </si>
  <si>
    <t>27-029-8925</t>
  </si>
  <si>
    <t>59-909-4928</t>
  </si>
  <si>
    <t>Iman</t>
  </si>
  <si>
    <t>Credit</t>
  </si>
  <si>
    <t>Database 2</t>
  </si>
  <si>
    <t>56-785-1205</t>
  </si>
  <si>
    <t>Cris</t>
  </si>
  <si>
    <t>Quantity for discount: Cash</t>
  </si>
  <si>
    <t>Quantity for discount: Other</t>
  </si>
  <si>
    <t>14-446-2574</t>
  </si>
  <si>
    <t>Gabriel</t>
  </si>
  <si>
    <t>Check</t>
  </si>
  <si>
    <t>85-365-6108</t>
  </si>
  <si>
    <t>91-904-7926</t>
  </si>
  <si>
    <t>Bo</t>
  </si>
  <si>
    <t>91-516-0670</t>
  </si>
  <si>
    <t>51-376-9050</t>
  </si>
  <si>
    <t>Francis</t>
  </si>
  <si>
    <t>51-099-5307</t>
  </si>
  <si>
    <t>02-898-8943</t>
  </si>
  <si>
    <t>Toprak</t>
  </si>
  <si>
    <t>08-264-9757</t>
  </si>
  <si>
    <t>Omotayo</t>
  </si>
  <si>
    <t>19-250-6770</t>
  </si>
  <si>
    <t>Teo</t>
  </si>
  <si>
    <t>87-161-8291</t>
  </si>
  <si>
    <t>12-462-4567</t>
  </si>
  <si>
    <t>Jaime</t>
  </si>
  <si>
    <t>13-890-0143</t>
  </si>
  <si>
    <t>Kai</t>
  </si>
  <si>
    <t>86-447-6682</t>
  </si>
  <si>
    <t>96-579-2883</t>
  </si>
  <si>
    <t>Lee</t>
  </si>
  <si>
    <t>87-994-3309</t>
  </si>
  <si>
    <t>49-629-8348</t>
  </si>
  <si>
    <t>58-114-5429</t>
  </si>
  <si>
    <t>51-929-4065</t>
  </si>
  <si>
    <t>73-759-7874</t>
  </si>
  <si>
    <t>94-411-2932</t>
  </si>
  <si>
    <t>27-359-6961</t>
  </si>
  <si>
    <t>96-314-6950</t>
  </si>
  <si>
    <t>06-569-2169</t>
  </si>
  <si>
    <t>05-718-5877</t>
  </si>
  <si>
    <t>14-882-0051</t>
  </si>
  <si>
    <t>16-018-5424</t>
  </si>
  <si>
    <t>63-683-0411</t>
  </si>
  <si>
    <t>Ebony</t>
  </si>
  <si>
    <t>41-543-6767</t>
  </si>
  <si>
    <t>Amulya</t>
  </si>
  <si>
    <t>69-212-2140</t>
  </si>
  <si>
    <t>01-700-3963</t>
  </si>
  <si>
    <t>19-547-5557</t>
  </si>
  <si>
    <t>85-038-7852</t>
  </si>
  <si>
    <t>00-565-1917</t>
  </si>
  <si>
    <t>48-200-5475</t>
  </si>
  <si>
    <t>22-312-9097</t>
  </si>
  <si>
    <t>77-357-1136</t>
  </si>
  <si>
    <t>67-871-5815</t>
  </si>
  <si>
    <t>29-270-6082</t>
  </si>
  <si>
    <t>23-942-3697</t>
  </si>
  <si>
    <t>25-393-7858</t>
  </si>
  <si>
    <t>58-653-4282</t>
  </si>
  <si>
    <t>06-402-2900</t>
  </si>
  <si>
    <t>25-544-3759</t>
  </si>
  <si>
    <t>54-848-1548</t>
  </si>
  <si>
    <t>55-984-0798</t>
  </si>
  <si>
    <t>61-304-5364</t>
  </si>
  <si>
    <t>96-209-4385</t>
  </si>
  <si>
    <t>46-185-4188</t>
  </si>
  <si>
    <t>63-291-3848</t>
  </si>
  <si>
    <t>66-925-4811</t>
  </si>
  <si>
    <t>38-227-8843</t>
  </si>
  <si>
    <t>Arnaldo</t>
  </si>
  <si>
    <t>34-704-1464</t>
  </si>
  <si>
    <t>Willamina</t>
  </si>
  <si>
    <t>80-847-6069</t>
  </si>
  <si>
    <t>Caryl</t>
  </si>
  <si>
    <t>27-508-3672</t>
  </si>
  <si>
    <t>Hester</t>
  </si>
  <si>
    <t>66-896-5030</t>
  </si>
  <si>
    <t>Claude</t>
  </si>
  <si>
    <t>26-200-0422</t>
  </si>
  <si>
    <t>Chicky</t>
  </si>
  <si>
    <t>18-574-7598</t>
  </si>
  <si>
    <t>Boy</t>
  </si>
  <si>
    <t>71-860-9013</t>
  </si>
  <si>
    <t>Gabey</t>
  </si>
  <si>
    <t>93-868-9899</t>
  </si>
  <si>
    <t>11-301-3410</t>
  </si>
  <si>
    <t>23-033-3329</t>
  </si>
  <si>
    <t>01-600-7497</t>
  </si>
  <si>
    <t>06-368-3886</t>
  </si>
  <si>
    <t>12-493-0479</t>
  </si>
  <si>
    <t>58-341-0813</t>
  </si>
  <si>
    <t>14-353-5330</t>
  </si>
  <si>
    <t>43-155-1940</t>
  </si>
  <si>
    <t>61-299-6275</t>
  </si>
  <si>
    <t>00-074-4197</t>
  </si>
  <si>
    <t>78-122-7663</t>
  </si>
  <si>
    <t>Ursulina</t>
  </si>
  <si>
    <t>59-069-0011</t>
  </si>
  <si>
    <t>Anabella</t>
  </si>
  <si>
    <t>84-336-8457</t>
  </si>
  <si>
    <t>Devland</t>
  </si>
  <si>
    <t>68-774-9448</t>
  </si>
  <si>
    <t>Giorgia</t>
  </si>
  <si>
    <t>Delaney</t>
  </si>
  <si>
    <t>66-576-5513</t>
  </si>
  <si>
    <t>Koren</t>
  </si>
  <si>
    <t>53-717-4684</t>
  </si>
  <si>
    <t>10-737-0489</t>
  </si>
  <si>
    <t>80-017-6272</t>
  </si>
  <si>
    <t>44-979-3551</t>
  </si>
  <si>
    <t>11-641-3372</t>
  </si>
  <si>
    <t>77-901-6799</t>
  </si>
  <si>
    <t>01-228-0472</t>
  </si>
  <si>
    <t>30-131-2695</t>
  </si>
  <si>
    <t>78-580-3721</t>
  </si>
  <si>
    <t>64-040-7846</t>
  </si>
  <si>
    <t>37-060-6167</t>
  </si>
  <si>
    <t>Llywellyn</t>
  </si>
  <si>
    <t>13-540-4738</t>
  </si>
  <si>
    <t>Tildie</t>
  </si>
  <si>
    <t>59-776-0727</t>
  </si>
  <si>
    <t>Lulu</t>
  </si>
  <si>
    <t>32-179-6401</t>
  </si>
  <si>
    <t>Loren</t>
  </si>
  <si>
    <t>Hali</t>
  </si>
  <si>
    <t>19-040-1968</t>
  </si>
  <si>
    <t>Bibi</t>
  </si>
  <si>
    <t>54-236-9088</t>
  </si>
  <si>
    <t>Grantham</t>
  </si>
  <si>
    <t>65-497-6751</t>
  </si>
  <si>
    <t>Josey</t>
  </si>
  <si>
    <t>17-229-1019</t>
  </si>
  <si>
    <t>Callie</t>
  </si>
  <si>
    <t>56-646-6436</t>
  </si>
  <si>
    <t>Odele</t>
  </si>
  <si>
    <t>23-572-9903</t>
  </si>
  <si>
    <t>Christa</t>
  </si>
  <si>
    <t>59-783-9173</t>
  </si>
  <si>
    <t>Lizabeth</t>
  </si>
  <si>
    <t>15-155-9585</t>
  </si>
  <si>
    <t>Lanita</t>
  </si>
  <si>
    <t>32-762-2285</t>
  </si>
  <si>
    <t>Wyn</t>
  </si>
  <si>
    <t>88-546-7610</t>
  </si>
  <si>
    <t>Steffane</t>
  </si>
  <si>
    <t>90-843-6384</t>
  </si>
  <si>
    <t>Hershel</t>
  </si>
  <si>
    <t>22-550-0387</t>
  </si>
  <si>
    <t>Daisey</t>
  </si>
  <si>
    <t>92-811-7480</t>
  </si>
  <si>
    <t>Robinette</t>
  </si>
  <si>
    <t>19-360-9089</t>
  </si>
  <si>
    <t>Jonis</t>
  </si>
  <si>
    <t>90-480-0303</t>
  </si>
  <si>
    <t>Anthia</t>
  </si>
  <si>
    <t>54-301-2403</t>
  </si>
  <si>
    <t>Vicki</t>
  </si>
  <si>
    <t>43-213-1688</t>
  </si>
  <si>
    <t>Flemming</t>
  </si>
  <si>
    <t>31-497-8196</t>
  </si>
  <si>
    <t>Benedict</t>
  </si>
  <si>
    <t>06-765-8370</t>
  </si>
  <si>
    <t>Rollie</t>
  </si>
  <si>
    <t>05-627-8390</t>
  </si>
  <si>
    <t>Debra</t>
  </si>
  <si>
    <t>22-059-7415</t>
  </si>
  <si>
    <t>Alley</t>
  </si>
  <si>
    <t>27-788-2082</t>
  </si>
  <si>
    <t>Violet</t>
  </si>
  <si>
    <t>67-413-9095</t>
  </si>
  <si>
    <t>Llewellyn</t>
  </si>
  <si>
    <t>11-411-4640</t>
  </si>
  <si>
    <t>Jacklyn</t>
  </si>
  <si>
    <t>64-454-5746</t>
  </si>
  <si>
    <t>Nerti</t>
  </si>
  <si>
    <t>04-905-9245</t>
  </si>
  <si>
    <t>Kira</t>
  </si>
  <si>
    <t>32-301-6514</t>
  </si>
  <si>
    <t>Coletta</t>
  </si>
  <si>
    <t>48-288-7605</t>
  </si>
  <si>
    <t>93-407-6217</t>
  </si>
  <si>
    <t>27-351-0078</t>
  </si>
  <si>
    <t>93-142-9596</t>
  </si>
  <si>
    <t>10-538-2688</t>
  </si>
  <si>
    <t>60-395-6554</t>
  </si>
  <si>
    <t>55-601-7177</t>
  </si>
  <si>
    <t>52-035-5780</t>
  </si>
  <si>
    <t>59-538-4935</t>
  </si>
  <si>
    <t>48-144-1450</t>
  </si>
  <si>
    <t>99-651-3487</t>
  </si>
  <si>
    <t>08-917-0603</t>
  </si>
  <si>
    <t>Nathanial</t>
  </si>
  <si>
    <t>Tina</t>
  </si>
  <si>
    <t>51-928-4792</t>
  </si>
  <si>
    <t>Garrek</t>
  </si>
  <si>
    <t>Bryant</t>
  </si>
  <si>
    <t>33-400-8089</t>
  </si>
  <si>
    <t>Lucio</t>
  </si>
  <si>
    <t>Milton</t>
  </si>
  <si>
    <t>72-538-6043</t>
  </si>
  <si>
    <t>Correna</t>
  </si>
  <si>
    <t>98-686-3252</t>
  </si>
  <si>
    <t>86-227-4274</t>
  </si>
  <si>
    <t>57-587-8703</t>
  </si>
  <si>
    <t>61-450-8094</t>
  </si>
  <si>
    <t>67-557-6969</t>
  </si>
  <si>
    <t>64-695-9444</t>
  </si>
  <si>
    <t>18-004-2574</t>
  </si>
  <si>
    <t>13-522-0664</t>
  </si>
  <si>
    <t>68-019-5815</t>
  </si>
  <si>
    <t>57-353-5139</t>
  </si>
  <si>
    <t>03-741-8654</t>
  </si>
  <si>
    <t>54-074-3348</t>
  </si>
  <si>
    <t>17-554-3792</t>
  </si>
  <si>
    <t>Gregoire</t>
  </si>
  <si>
    <t>52-676-8915</t>
  </si>
  <si>
    <t>Kimberly</t>
  </si>
  <si>
    <t>03-935-2953</t>
  </si>
  <si>
    <t>Candice</t>
  </si>
  <si>
    <t>29-368-7788</t>
  </si>
  <si>
    <t>Jesse</t>
  </si>
  <si>
    <t>Vevay</t>
  </si>
  <si>
    <t>88-963-2199</t>
  </si>
  <si>
    <t>Brande</t>
  </si>
  <si>
    <t>04-297-7607</t>
  </si>
  <si>
    <t>35-478-1974</t>
  </si>
  <si>
    <t>13-784-8361</t>
  </si>
  <si>
    <t>56-323-8810</t>
  </si>
  <si>
    <t>62-239-8222</t>
  </si>
  <si>
    <t>Marylou</t>
  </si>
  <si>
    <t>89-233-1448</t>
  </si>
  <si>
    <t>Honey</t>
  </si>
  <si>
    <t>47-727-0442</t>
  </si>
  <si>
    <t>Noel</t>
  </si>
  <si>
    <t>58-883-3118</t>
  </si>
  <si>
    <t>Dorey</t>
  </si>
  <si>
    <t>Peyton</t>
  </si>
  <si>
    <t>08-611-7434</t>
  </si>
  <si>
    <t>75-402-4273</t>
  </si>
  <si>
    <t>96-947-8178</t>
  </si>
  <si>
    <t>57-194-4398</t>
  </si>
  <si>
    <t>92-564-6986</t>
  </si>
  <si>
    <t>06-618-2315</t>
  </si>
  <si>
    <t>Karlotta</t>
  </si>
  <si>
    <t>85-838-9251</t>
  </si>
  <si>
    <t>Tommie</t>
  </si>
  <si>
    <t>27-467-0354</t>
  </si>
  <si>
    <t>Janeczka</t>
  </si>
  <si>
    <t>10-305-1237</t>
  </si>
  <si>
    <t>12-067-8467</t>
  </si>
  <si>
    <t>13-465-6269</t>
  </si>
  <si>
    <t>Powell</t>
  </si>
  <si>
    <t>Dulcea</t>
  </si>
  <si>
    <t>77-859-0914</t>
  </si>
  <si>
    <t>Nanni</t>
  </si>
  <si>
    <t>29-429-1656</t>
  </si>
  <si>
    <t>Faber</t>
  </si>
  <si>
    <t>34-172-4359</t>
  </si>
  <si>
    <t>24-781-0123</t>
  </si>
  <si>
    <t>87-408-6470</t>
  </si>
  <si>
    <t>93-117-5318</t>
  </si>
  <si>
    <t>22-870-8827</t>
  </si>
  <si>
    <t>40-194-4734</t>
  </si>
  <si>
    <t>71-693-8499</t>
  </si>
  <si>
    <t>49-573-1958</t>
  </si>
  <si>
    <t>21-076-9931</t>
  </si>
  <si>
    <t>78-635-7000</t>
  </si>
  <si>
    <t>Itch</t>
  </si>
  <si>
    <t>Blondelle</t>
  </si>
  <si>
    <t>46-715-7510</t>
  </si>
  <si>
    <t>Venus</t>
  </si>
  <si>
    <t>Freedman</t>
  </si>
  <si>
    <t>Peyter</t>
  </si>
  <si>
    <t>Alisa</t>
  </si>
  <si>
    <t>Lucian</t>
  </si>
  <si>
    <t>Andros</t>
  </si>
  <si>
    <t>Fancie</t>
  </si>
  <si>
    <t>Benito</t>
  </si>
  <si>
    <t>Sky</t>
  </si>
  <si>
    <t>Margit</t>
  </si>
  <si>
    <t>Archibaldo</t>
  </si>
  <si>
    <t>Mickie</t>
  </si>
  <si>
    <t>97-489-6457</t>
  </si>
  <si>
    <t>D'arcy</t>
  </si>
  <si>
    <t>82-523-1731</t>
  </si>
  <si>
    <t>Leslie</t>
  </si>
  <si>
    <t>96-505-9442</t>
  </si>
  <si>
    <t>Rakel</t>
  </si>
  <si>
    <t>93-907-4098</t>
  </si>
  <si>
    <t>Burty</t>
  </si>
  <si>
    <t>18-784-9545</t>
  </si>
  <si>
    <t>Ulric</t>
  </si>
  <si>
    <t>76-352-6642</t>
  </si>
  <si>
    <t>06-712-7811</t>
  </si>
  <si>
    <t>66-917-4324</t>
  </si>
  <si>
    <t>39-827-1681</t>
  </si>
  <si>
    <t>85-914-6339</t>
  </si>
  <si>
    <t>70-155-8579</t>
  </si>
  <si>
    <t>16-672-3886</t>
  </si>
  <si>
    <t>23-174-1056</t>
  </si>
  <si>
    <t>61-884-1362</t>
  </si>
  <si>
    <t>66-544-7052</t>
  </si>
  <si>
    <t>51-726-9981</t>
  </si>
  <si>
    <t>60-524-9332</t>
  </si>
  <si>
    <t>66-556-5232</t>
  </si>
  <si>
    <t>46-809-8239</t>
  </si>
  <si>
    <t>76-761-6165</t>
  </si>
  <si>
    <t>05-726-4008</t>
  </si>
  <si>
    <t>30-966-2227</t>
  </si>
  <si>
    <t>49-217-1185</t>
  </si>
  <si>
    <t>Moritz</t>
  </si>
  <si>
    <t>91-293-3639</t>
  </si>
  <si>
    <t>Binnie</t>
  </si>
  <si>
    <t>56-985-3679</t>
  </si>
  <si>
    <t>Loy</t>
  </si>
  <si>
    <t>25-927-1779</t>
  </si>
  <si>
    <t>Arleta</t>
  </si>
  <si>
    <t>59-413-9274</t>
  </si>
  <si>
    <t>73-048-6976</t>
  </si>
  <si>
    <t>38-302-3268</t>
  </si>
  <si>
    <t>08-728-1975</t>
  </si>
  <si>
    <t>14-235-5840</t>
  </si>
  <si>
    <t>78-963-0599</t>
  </si>
  <si>
    <t>Elita</t>
  </si>
  <si>
    <t>98-652-6287</t>
  </si>
  <si>
    <t>Clint</t>
  </si>
  <si>
    <t>Ethe</t>
  </si>
  <si>
    <t>29-036-0262</t>
  </si>
  <si>
    <t>Evelina</t>
  </si>
  <si>
    <t>36-897-8951</t>
  </si>
  <si>
    <t>70-887-0829</t>
  </si>
  <si>
    <t>Nickolaus</t>
  </si>
  <si>
    <t>96-780-3940</t>
  </si>
  <si>
    <t>Meredeth</t>
  </si>
  <si>
    <t>60-913-6927</t>
  </si>
  <si>
    <t>Web</t>
  </si>
  <si>
    <t>57-380-6045</t>
  </si>
  <si>
    <t>04-374-6745</t>
  </si>
  <si>
    <t>81-761-0308</t>
  </si>
  <si>
    <t>28-068-8871</t>
  </si>
  <si>
    <t>40-356-6825</t>
  </si>
  <si>
    <t>16-617-7604</t>
  </si>
  <si>
    <t>90-516-6439</t>
  </si>
  <si>
    <t>42-266-7417</t>
  </si>
  <si>
    <t>25-636-3694</t>
  </si>
  <si>
    <t>Kimble</t>
  </si>
  <si>
    <t>85-474-3815</t>
  </si>
  <si>
    <t>Holt</t>
  </si>
  <si>
    <t>16-214-2773</t>
  </si>
  <si>
    <t>Oberon</t>
  </si>
  <si>
    <t>62-149-4184</t>
  </si>
  <si>
    <t>Gwenora</t>
  </si>
  <si>
    <t>98-449-6785</t>
  </si>
  <si>
    <t>43-971-9364</t>
  </si>
  <si>
    <t>55-670-2339</t>
  </si>
  <si>
    <t>72-461-0404</t>
  </si>
  <si>
    <t>12-239-4888</t>
  </si>
  <si>
    <t>49-550-0037</t>
  </si>
  <si>
    <t>24-489-4683</t>
  </si>
  <si>
    <t>32-262-2812</t>
  </si>
  <si>
    <t>66-887-4795</t>
  </si>
  <si>
    <t>90-028-1681</t>
  </si>
  <si>
    <t>57-171-5375</t>
  </si>
  <si>
    <t>35-464-0529</t>
  </si>
  <si>
    <t>58-431-8456</t>
  </si>
  <si>
    <t>68-292-2037</t>
  </si>
  <si>
    <t>41-663-4364</t>
  </si>
  <si>
    <t>11-641-6254</t>
  </si>
  <si>
    <t>21-805-6465</t>
  </si>
  <si>
    <t>32-305-1210</t>
  </si>
  <si>
    <t>55-370-2700</t>
  </si>
  <si>
    <t>16-566-9848</t>
  </si>
  <si>
    <t>Lindsy</t>
  </si>
  <si>
    <t>52-302-2407</t>
  </si>
  <si>
    <t>47-684-8549</t>
  </si>
  <si>
    <t>43-818-3608</t>
  </si>
  <si>
    <t>69-724-9981</t>
  </si>
  <si>
    <t>58-859-9225</t>
  </si>
  <si>
    <t>84-093-9200</t>
  </si>
  <si>
    <t>84-326-3520</t>
  </si>
  <si>
    <t>48-753-0384</t>
  </si>
  <si>
    <t>40-160-9965</t>
  </si>
  <si>
    <t>18-359-0304</t>
  </si>
  <si>
    <t>35-423-1085</t>
  </si>
  <si>
    <t>02-588-5234</t>
  </si>
  <si>
    <t>Janessa</t>
  </si>
  <si>
    <t>85-770-0575</t>
  </si>
  <si>
    <t>Holly</t>
  </si>
  <si>
    <t>38-653-0051</t>
  </si>
  <si>
    <t>Bellanca</t>
  </si>
  <si>
    <t>78-018-0252</t>
  </si>
  <si>
    <t>Binny</t>
  </si>
  <si>
    <t>23-781-8588</t>
  </si>
  <si>
    <t>Rice</t>
  </si>
  <si>
    <t>27-962-2563</t>
  </si>
  <si>
    <t>Vanessa</t>
  </si>
  <si>
    <t>Bill</t>
  </si>
  <si>
    <t>08-976-0687</t>
  </si>
  <si>
    <t>Roosevelt</t>
  </si>
  <si>
    <t>19-217-2530</t>
  </si>
  <si>
    <t>Jerrie</t>
  </si>
  <si>
    <t>Engracia</t>
  </si>
  <si>
    <t>05-330-1269</t>
  </si>
  <si>
    <t>Rafaellle</t>
  </si>
  <si>
    <t>81-099-5403</t>
  </si>
  <si>
    <t>Millard</t>
  </si>
  <si>
    <t>02-221-3535</t>
  </si>
  <si>
    <t>Salmon</t>
  </si>
  <si>
    <t>78-284-3139</t>
  </si>
  <si>
    <t>Bethina</t>
  </si>
  <si>
    <t>02-394-7874</t>
  </si>
  <si>
    <t>Darla</t>
  </si>
  <si>
    <t>38-531-4328</t>
  </si>
  <si>
    <t>Lorrie</t>
  </si>
  <si>
    <t>23-924-1465</t>
  </si>
  <si>
    <t>Vina</t>
  </si>
  <si>
    <t>95-879-3876</t>
  </si>
  <si>
    <t>Larine</t>
  </si>
  <si>
    <t>17-672-7868</t>
  </si>
  <si>
    <t>Brew</t>
  </si>
  <si>
    <t>56-430-8928</t>
  </si>
  <si>
    <t>Tobit</t>
  </si>
  <si>
    <t>12-158-9173</t>
  </si>
  <si>
    <t>Pyotr</t>
  </si>
  <si>
    <t>38-606-8991</t>
  </si>
  <si>
    <t>Link</t>
  </si>
  <si>
    <t>01-005-6817</t>
  </si>
  <si>
    <t>Wynnie</t>
  </si>
  <si>
    <t>34-012-4238</t>
  </si>
  <si>
    <t>Honoria</t>
  </si>
  <si>
    <t>58-219-5433</t>
  </si>
  <si>
    <t>Ainslee</t>
  </si>
  <si>
    <t>15-650-7304</t>
  </si>
  <si>
    <t>Jereme</t>
  </si>
  <si>
    <t>97-413-2051</t>
  </si>
  <si>
    <t>96-145-1264</t>
  </si>
  <si>
    <t>Holmes</t>
  </si>
  <si>
    <t>84-119-5925</t>
  </si>
  <si>
    <t>Shanon</t>
  </si>
  <si>
    <t>73-998-5320</t>
  </si>
  <si>
    <t>Tymothy</t>
  </si>
  <si>
    <t>Kelli</t>
  </si>
  <si>
    <t>76-273-6313</t>
  </si>
  <si>
    <t>16-261-2265</t>
  </si>
  <si>
    <t>36-177-7181</t>
  </si>
  <si>
    <t>64-887-0449</t>
  </si>
  <si>
    <t>48-974-4988</t>
  </si>
  <si>
    <t>28-052-6114</t>
  </si>
  <si>
    <t>95-136-1451</t>
  </si>
  <si>
    <t>80-621-5223</t>
  </si>
  <si>
    <t>08-673-7322</t>
  </si>
  <si>
    <t>79-269-7927</t>
  </si>
  <si>
    <t>35-326-5358</t>
  </si>
  <si>
    <t>31-742-4336</t>
  </si>
  <si>
    <t>Wilmette</t>
  </si>
  <si>
    <t>04-797-8743</t>
  </si>
  <si>
    <t>Reeva</t>
  </si>
  <si>
    <t>31-479-5718</t>
  </si>
  <si>
    <t>Mariette</t>
  </si>
  <si>
    <t>Idelle</t>
  </si>
  <si>
    <t>50-697-9434</t>
  </si>
  <si>
    <t>Christiano</t>
  </si>
  <si>
    <t>51-800-6147</t>
  </si>
  <si>
    <t>Moll</t>
  </si>
  <si>
    <t>59-320-4510</t>
  </si>
  <si>
    <t>Piper</t>
  </si>
  <si>
    <t>80-342-0647</t>
  </si>
  <si>
    <t>Neron</t>
  </si>
  <si>
    <t>35-127-1955</t>
  </si>
  <si>
    <t>Ferd</t>
  </si>
  <si>
    <t>58-118-8575</t>
  </si>
  <si>
    <t>Coralie</t>
  </si>
  <si>
    <t>84-669-5332</t>
  </si>
  <si>
    <t>Marsha</t>
  </si>
  <si>
    <t>Liesa</t>
  </si>
  <si>
    <t>86-325-7128</t>
  </si>
  <si>
    <t>Danielle</t>
  </si>
  <si>
    <t>47-895-6897</t>
  </si>
  <si>
    <t>Roddy</t>
  </si>
  <si>
    <t>01-286-1856</t>
  </si>
  <si>
    <t>Correy</t>
  </si>
  <si>
    <t>40-773-6278</t>
  </si>
  <si>
    <t>Rubetta</t>
  </si>
  <si>
    <t>48-372-5312</t>
  </si>
  <si>
    <t>Ange</t>
  </si>
  <si>
    <t>41-906-9574</t>
  </si>
  <si>
    <t>Blair</t>
  </si>
  <si>
    <t>05-850-7285</t>
  </si>
  <si>
    <t>Clarence</t>
  </si>
  <si>
    <t>59-988-0619</t>
  </si>
  <si>
    <t>Walt</t>
  </si>
  <si>
    <t>81-770-4721</t>
  </si>
  <si>
    <t>Kristien</t>
  </si>
  <si>
    <t>41-193-4012</t>
  </si>
  <si>
    <t>Kristo</t>
  </si>
  <si>
    <t>01-479-5335</t>
  </si>
  <si>
    <t>Peder</t>
  </si>
  <si>
    <t>60-551-0739</t>
  </si>
  <si>
    <t>Sabrina</t>
  </si>
  <si>
    <t>51-099-9634</t>
  </si>
  <si>
    <t>Tybalt</t>
  </si>
  <si>
    <t>31-591-2757</t>
  </si>
  <si>
    <t>Perle</t>
  </si>
  <si>
    <t>63-458-3132</t>
  </si>
  <si>
    <t>Kriste</t>
  </si>
  <si>
    <t>11-933-7311</t>
  </si>
  <si>
    <t>48-076-6299</t>
  </si>
  <si>
    <t>Hermie</t>
  </si>
  <si>
    <t>88-313-8965</t>
  </si>
  <si>
    <t>Freida</t>
  </si>
  <si>
    <t>16-276-0363</t>
  </si>
  <si>
    <t>Sadella</t>
  </si>
  <si>
    <t>06-259-7944</t>
  </si>
  <si>
    <t>Nicola</t>
  </si>
  <si>
    <t>06-695-5309</t>
  </si>
  <si>
    <t>Amber</t>
  </si>
  <si>
    <t>58-393-2359</t>
  </si>
  <si>
    <t>Tera</t>
  </si>
  <si>
    <t>65-904-4034</t>
  </si>
  <si>
    <t>Fraze</t>
  </si>
  <si>
    <t>13-853-4989</t>
  </si>
  <si>
    <t>Arda</t>
  </si>
  <si>
    <t>10-189-6176</t>
  </si>
  <si>
    <t>Aristotle</t>
  </si>
  <si>
    <t>68-801-5328</t>
  </si>
  <si>
    <t>Alma</t>
  </si>
  <si>
    <t>66-077-8609</t>
  </si>
  <si>
    <t>Ralph</t>
  </si>
  <si>
    <t>96-729-6410</t>
  </si>
  <si>
    <t>Tarah</t>
  </si>
  <si>
    <t>16-482-3999</t>
  </si>
  <si>
    <t>Birgit</t>
  </si>
  <si>
    <t>72-613-9806</t>
  </si>
  <si>
    <t>Augy</t>
  </si>
  <si>
    <t>16-971-0657</t>
  </si>
  <si>
    <t>Carita</t>
  </si>
  <si>
    <t>17-025-8292</t>
  </si>
  <si>
    <t>Anselma</t>
  </si>
  <si>
    <t>98-204-0276</t>
  </si>
  <si>
    <t>53-212-3835</t>
  </si>
  <si>
    <t>58-318-2067</t>
  </si>
  <si>
    <t>92-916-6098</t>
  </si>
  <si>
    <t>07-949-7452</t>
  </si>
  <si>
    <t>47-654-0521</t>
  </si>
  <si>
    <t>49-200-8922</t>
  </si>
  <si>
    <t>81-306-6264</t>
  </si>
  <si>
    <t>54-434-6227</t>
  </si>
  <si>
    <t>37-667-2928</t>
  </si>
  <si>
    <t>Orton</t>
  </si>
  <si>
    <t>37-918-8880</t>
  </si>
  <si>
    <t>Clea</t>
  </si>
  <si>
    <t>37-913-6784</t>
  </si>
  <si>
    <t>Cariotta</t>
  </si>
  <si>
    <t>70-456-1983</t>
  </si>
  <si>
    <t>Kelila</t>
  </si>
  <si>
    <t>Penelope</t>
  </si>
  <si>
    <t>93-104-4156</t>
  </si>
  <si>
    <t>Kristen</t>
  </si>
  <si>
    <t>18-615-0842</t>
  </si>
  <si>
    <t>Siusan</t>
  </si>
  <si>
    <t>52-096-3903</t>
  </si>
  <si>
    <t>91-131-8601</t>
  </si>
  <si>
    <t>Cassondra</t>
  </si>
  <si>
    <t>56-045-7330</t>
  </si>
  <si>
    <t>Guinevere</t>
  </si>
  <si>
    <t>85-382-4313</t>
  </si>
  <si>
    <t>Adamo</t>
  </si>
  <si>
    <t>34-774-6017</t>
  </si>
  <si>
    <t>Royall</t>
  </si>
  <si>
    <t>78-578-7813</t>
  </si>
  <si>
    <t>Prudence</t>
  </si>
  <si>
    <t>78-205-0042</t>
  </si>
  <si>
    <t>Devon</t>
  </si>
  <si>
    <t>74-980-8234</t>
  </si>
  <si>
    <t>Belva</t>
  </si>
  <si>
    <t>50-098-9927</t>
  </si>
  <si>
    <t>Rickey</t>
  </si>
  <si>
    <t>66-680-3383</t>
  </si>
  <si>
    <t>Tersina</t>
  </si>
  <si>
    <t>36-116-5262</t>
  </si>
  <si>
    <t>Dorette</t>
  </si>
  <si>
    <t>47-640-5811</t>
  </si>
  <si>
    <t>Victoir</t>
  </si>
  <si>
    <t>03-533-9483</t>
  </si>
  <si>
    <t>Levy</t>
  </si>
  <si>
    <t>36-748-3086</t>
  </si>
  <si>
    <t>Coleman</t>
  </si>
  <si>
    <t>64-751-4443</t>
  </si>
  <si>
    <t>28-796-4096</t>
  </si>
  <si>
    <t>Lesya</t>
  </si>
  <si>
    <t>36-920-4343</t>
  </si>
  <si>
    <t>Noach</t>
  </si>
  <si>
    <t>98-698-3972</t>
  </si>
  <si>
    <t>Ernie</t>
  </si>
  <si>
    <t>58-730-0744</t>
  </si>
  <si>
    <t>Steffen</t>
  </si>
  <si>
    <t>62-744-1312</t>
  </si>
  <si>
    <t>Barby</t>
  </si>
  <si>
    <t>60-818-9629</t>
  </si>
  <si>
    <t>Osbert</t>
  </si>
  <si>
    <t>34-337-2319</t>
  </si>
  <si>
    <t>Bobette</t>
  </si>
  <si>
    <t>68-321-2546</t>
  </si>
  <si>
    <t>Jeralee</t>
  </si>
  <si>
    <t>74-569-3919</t>
  </si>
  <si>
    <t>Glenda</t>
  </si>
  <si>
    <t>65-723-8303</t>
  </si>
  <si>
    <t>Clementius</t>
  </si>
  <si>
    <t>92-260-9635</t>
  </si>
  <si>
    <t>Abdul</t>
  </si>
  <si>
    <t>61-393-7465</t>
  </si>
  <si>
    <t>Jamey</t>
  </si>
  <si>
    <t>07-715-0138</t>
  </si>
  <si>
    <t>Stephine</t>
  </si>
  <si>
    <t>09-321-4236</t>
  </si>
  <si>
    <t>Jamima</t>
  </si>
  <si>
    <t>75-909-6197</t>
  </si>
  <si>
    <t>Jacquette</t>
  </si>
  <si>
    <t>18-014-9644</t>
  </si>
  <si>
    <t>Roseanne</t>
  </si>
  <si>
    <t>22-446-6816</t>
  </si>
  <si>
    <t>Abby</t>
  </si>
  <si>
    <t>16-813-8425</t>
  </si>
  <si>
    <t>Nickola</t>
  </si>
  <si>
    <t>68-975-2823</t>
  </si>
  <si>
    <t>Tyrone</t>
  </si>
  <si>
    <t>35-229-8299</t>
  </si>
  <si>
    <t>Gard</t>
  </si>
  <si>
    <t>91-851-0404</t>
  </si>
  <si>
    <t>Lisetta</t>
  </si>
  <si>
    <t>06-796-6285</t>
  </si>
  <si>
    <t>96-763-6900</t>
  </si>
  <si>
    <t>25-755-7122</t>
  </si>
  <si>
    <t>67-171-2883</t>
  </si>
  <si>
    <t>13-316-5262</t>
  </si>
  <si>
    <t>01-452-7413</t>
  </si>
  <si>
    <t>15-672-1516</t>
  </si>
  <si>
    <t>22-838-0752</t>
  </si>
  <si>
    <t>76-915-7167</t>
  </si>
  <si>
    <t>79-219-0964</t>
  </si>
  <si>
    <t>42-045-4165</t>
  </si>
  <si>
    <t>Maurie</t>
  </si>
  <si>
    <t>24-159-4840</t>
  </si>
  <si>
    <t>Jourdain</t>
  </si>
  <si>
    <t>02-427-7313</t>
  </si>
  <si>
    <t>Udell</t>
  </si>
  <si>
    <t>29-944-2413</t>
  </si>
  <si>
    <t>Guglielmo</t>
  </si>
  <si>
    <t>89-597-6072</t>
  </si>
  <si>
    <t>Rooney</t>
  </si>
  <si>
    <t>25-955-6850</t>
  </si>
  <si>
    <t>Abbie</t>
  </si>
  <si>
    <t>94-651-0946</t>
  </si>
  <si>
    <t>Sigismond</t>
  </si>
  <si>
    <t>59-708-0737</t>
  </si>
  <si>
    <t>Penni</t>
  </si>
  <si>
    <t>80-128-0094</t>
  </si>
  <si>
    <t>Ethelda</t>
  </si>
  <si>
    <t>04-050-7430</t>
  </si>
  <si>
    <t>Giulio</t>
  </si>
  <si>
    <t>47-387-4481</t>
  </si>
  <si>
    <t>Deanne</t>
  </si>
  <si>
    <t>57-928-0762</t>
  </si>
  <si>
    <t>Pablo</t>
  </si>
  <si>
    <t>50-766-3234</t>
  </si>
  <si>
    <t>Kathryn</t>
  </si>
  <si>
    <t>18-053-9141</t>
  </si>
  <si>
    <t>Bernetta</t>
  </si>
  <si>
    <t>46-712-5615</t>
  </si>
  <si>
    <t>Courtney</t>
  </si>
  <si>
    <t>75-952-3287</t>
  </si>
  <si>
    <t>Catherin</t>
  </si>
  <si>
    <t>91-040-7517</t>
  </si>
  <si>
    <t>Guilbert</t>
  </si>
  <si>
    <t>43-592-1177</t>
  </si>
  <si>
    <t>Ernesto</t>
  </si>
  <si>
    <t>83-787-5961</t>
  </si>
  <si>
    <t>Sydney</t>
  </si>
  <si>
    <t>86-201-5043</t>
  </si>
  <si>
    <t>Merrielle</t>
  </si>
  <si>
    <t>14-147-6240</t>
  </si>
  <si>
    <t>Adena</t>
  </si>
  <si>
    <t>25-810-8761</t>
  </si>
  <si>
    <t>Yorker</t>
  </si>
  <si>
    <t>72-706-5384</t>
  </si>
  <si>
    <t>Kerry</t>
  </si>
  <si>
    <t>76-159-1914</t>
  </si>
  <si>
    <t>Mavis</t>
  </si>
  <si>
    <t>10-348-6678</t>
  </si>
  <si>
    <t>Magnum</t>
  </si>
  <si>
    <t>28-457-9602</t>
  </si>
  <si>
    <t>Cordula</t>
  </si>
  <si>
    <t>20-387-3138</t>
  </si>
  <si>
    <t>Benedick</t>
  </si>
  <si>
    <t>58-245-4938</t>
  </si>
  <si>
    <t>Andonis</t>
  </si>
  <si>
    <t>57-520-1134</t>
  </si>
  <si>
    <t>91-624-2126</t>
  </si>
  <si>
    <t>Ari</t>
  </si>
  <si>
    <t>09-576-2240</t>
  </si>
  <si>
    <t>07-698-8343</t>
  </si>
  <si>
    <t>Janith</t>
  </si>
  <si>
    <t>Margo</t>
  </si>
  <si>
    <t>51-315-0017</t>
  </si>
  <si>
    <t>Kirbee</t>
  </si>
  <si>
    <t>Heidi</t>
  </si>
  <si>
    <t>13-570-4473</t>
  </si>
  <si>
    <t>Nerita</t>
  </si>
  <si>
    <t>42-084-1470</t>
  </si>
  <si>
    <t>Lodovico</t>
  </si>
  <si>
    <t>91-280-7382</t>
  </si>
  <si>
    <t>Adan</t>
  </si>
  <si>
    <t>92-255-5379</t>
  </si>
  <si>
    <t>Antonella</t>
  </si>
  <si>
    <t>62-456-3363</t>
  </si>
  <si>
    <t>Clemmy</t>
  </si>
  <si>
    <t>04-958-9334</t>
  </si>
  <si>
    <t>94-337-0289</t>
  </si>
  <si>
    <t>Armin</t>
  </si>
  <si>
    <t>52-185-0616</t>
  </si>
  <si>
    <t>Jodie</t>
  </si>
  <si>
    <t>77-011-4911</t>
  </si>
  <si>
    <t>03-297-9653</t>
  </si>
  <si>
    <t>53-459-9211</t>
  </si>
  <si>
    <t>13-453-5580</t>
  </si>
  <si>
    <t>20-169-9492</t>
  </si>
  <si>
    <t>80-924-7279</t>
  </si>
  <si>
    <t>91-797-1922</t>
  </si>
  <si>
    <t>51-787-6676</t>
  </si>
  <si>
    <t>32-059-0363</t>
  </si>
  <si>
    <t>08-983-6666</t>
  </si>
  <si>
    <t>29-284-8019</t>
  </si>
  <si>
    <t>45-261-1686</t>
  </si>
  <si>
    <t>Thorvald</t>
  </si>
  <si>
    <t>96-386-6913</t>
  </si>
  <si>
    <t>Hermione</t>
  </si>
  <si>
    <t>04-561-6453</t>
  </si>
  <si>
    <t>Elbertina</t>
  </si>
  <si>
    <t>70-509-9923</t>
  </si>
  <si>
    <t>Alfonse</t>
  </si>
  <si>
    <t>18-298-6166</t>
  </si>
  <si>
    <t>Blane</t>
  </si>
  <si>
    <t>98-952-0614</t>
  </si>
  <si>
    <t>Hadria</t>
  </si>
  <si>
    <t>Selma</t>
  </si>
  <si>
    <t>58-423-2286</t>
  </si>
  <si>
    <t>Amalia</t>
  </si>
  <si>
    <t>10-068-0883</t>
  </si>
  <si>
    <t>Edward</t>
  </si>
  <si>
    <t>56-614-3822</t>
  </si>
  <si>
    <t>Murielle</t>
  </si>
  <si>
    <t>34-660-2828</t>
  </si>
  <si>
    <t>Bobbe</t>
  </si>
  <si>
    <t>86-118-9388</t>
  </si>
  <si>
    <t>Bran</t>
  </si>
  <si>
    <t>06-337-9822</t>
  </si>
  <si>
    <t>Aimee</t>
  </si>
  <si>
    <t>72-422-0776</t>
  </si>
  <si>
    <t>Dillon</t>
  </si>
  <si>
    <t>39-070-9745</t>
  </si>
  <si>
    <t>Gabriela</t>
  </si>
  <si>
    <t>14-646-5160</t>
  </si>
  <si>
    <t>Penny</t>
  </si>
  <si>
    <t>16-998-9872</t>
  </si>
  <si>
    <t>Tabbie</t>
  </si>
  <si>
    <t>68-482-6975</t>
  </si>
  <si>
    <t>98-790-2548</t>
  </si>
  <si>
    <t>01-254-4758</t>
  </si>
  <si>
    <t>64-516-9760</t>
  </si>
  <si>
    <t>92-233-6122</t>
  </si>
  <si>
    <t>44-269-9013</t>
  </si>
  <si>
    <t>53-693-2204</t>
  </si>
  <si>
    <t>10-651-6055</t>
  </si>
  <si>
    <t>96-574-0317</t>
  </si>
  <si>
    <t>74-695-0470</t>
  </si>
  <si>
    <t>17-159-8454</t>
  </si>
  <si>
    <t>88-669-1075</t>
  </si>
  <si>
    <t>40-459-7439</t>
  </si>
  <si>
    <t>Hall</t>
  </si>
  <si>
    <t>56-956-8489</t>
  </si>
  <si>
    <t>Larina</t>
  </si>
  <si>
    <t>71-140-1916</t>
  </si>
  <si>
    <t>Koressa</t>
  </si>
  <si>
    <t>88-662-4646</t>
  </si>
  <si>
    <t>Emmy</t>
  </si>
  <si>
    <t>64-235-4200</t>
  </si>
  <si>
    <t>Rees</t>
  </si>
  <si>
    <t>63-623-0888</t>
  </si>
  <si>
    <t>Yolane</t>
  </si>
  <si>
    <t>26-666-4708</t>
  </si>
  <si>
    <t>Farris</t>
  </si>
  <si>
    <t>57-142-1204</t>
  </si>
  <si>
    <t>27-232-6503</t>
  </si>
  <si>
    <t>79-637-2406</t>
  </si>
  <si>
    <t>93-263-6686</t>
  </si>
  <si>
    <t>75-018-3472</t>
  </si>
  <si>
    <t>02-441-4347</t>
  </si>
  <si>
    <t>43-263-5871</t>
  </si>
  <si>
    <t>15-903-1893</t>
  </si>
  <si>
    <t>25-234-7971</t>
  </si>
  <si>
    <t>86-566-2633</t>
  </si>
  <si>
    <t>28-340-8860</t>
  </si>
  <si>
    <t>12-263-0898</t>
  </si>
  <si>
    <t>07-623-5132</t>
  </si>
  <si>
    <t>83-490-2582</t>
  </si>
  <si>
    <t>52-293-2276</t>
  </si>
  <si>
    <t>80-432-2845</t>
  </si>
  <si>
    <t>22-428-0850</t>
  </si>
  <si>
    <t>34-624-4346</t>
  </si>
  <si>
    <t>62-190-2771</t>
  </si>
  <si>
    <t>Jarret</t>
  </si>
  <si>
    <t>05-982-6131</t>
  </si>
  <si>
    <t>Christiana</t>
  </si>
  <si>
    <t>10-864-2850</t>
  </si>
  <si>
    <t>Janette</t>
  </si>
  <si>
    <t>29-336-4388</t>
  </si>
  <si>
    <t>Terrance</t>
  </si>
  <si>
    <t>56-219-6148</t>
  </si>
  <si>
    <t>Bridie</t>
  </si>
  <si>
    <t>32-538-6413</t>
  </si>
  <si>
    <t>Kitti</t>
  </si>
  <si>
    <t>41-453-0239</t>
  </si>
  <si>
    <t>Anny</t>
  </si>
  <si>
    <t>19-119-1645</t>
  </si>
  <si>
    <t>Clyve</t>
  </si>
  <si>
    <t>15-351-6857</t>
  </si>
  <si>
    <t>Marcella</t>
  </si>
  <si>
    <t>49-445-1435</t>
  </si>
  <si>
    <t>Inna</t>
  </si>
  <si>
    <t>23-821-5369</t>
  </si>
  <si>
    <t>Barbey</t>
  </si>
  <si>
    <t>34-349-3968</t>
  </si>
  <si>
    <t>Wenonah</t>
  </si>
  <si>
    <t>94-361-6637</t>
  </si>
  <si>
    <t>Corbet</t>
  </si>
  <si>
    <t>43-348-7269</t>
  </si>
  <si>
    <t>Stacy</t>
  </si>
  <si>
    <t>63-474-1708</t>
  </si>
  <si>
    <t>Benny</t>
  </si>
  <si>
    <t>20-555-1435</t>
  </si>
  <si>
    <t>Zilvia</t>
  </si>
  <si>
    <t>62-194-2116</t>
  </si>
  <si>
    <t>Hayes</t>
  </si>
  <si>
    <t>11-149-5653</t>
  </si>
  <si>
    <t>Anne</t>
  </si>
  <si>
    <t>Pennie</t>
  </si>
  <si>
    <t>Alicia</t>
  </si>
  <si>
    <t>Josefa</t>
  </si>
  <si>
    <t>65-849-9996</t>
  </si>
  <si>
    <t>Janella</t>
  </si>
  <si>
    <t>51-094-9972</t>
  </si>
  <si>
    <t>Esme</t>
  </si>
  <si>
    <t>21-395-1695</t>
  </si>
  <si>
    <t>Derick</t>
  </si>
  <si>
    <t>11-829-9210</t>
  </si>
  <si>
    <t>Valaria</t>
  </si>
  <si>
    <t>50-570-3450</t>
  </si>
  <si>
    <t>Joseph</t>
  </si>
  <si>
    <t>72-283-5858</t>
  </si>
  <si>
    <t>Paddy</t>
  </si>
  <si>
    <t>66-654-2748</t>
  </si>
  <si>
    <t>Brannon</t>
  </si>
  <si>
    <t>33-248-3031</t>
  </si>
  <si>
    <t>Carina</t>
  </si>
  <si>
    <t>62-891-2395</t>
  </si>
  <si>
    <t>Antoni</t>
  </si>
  <si>
    <t>46-668-9529</t>
  </si>
  <si>
    <t>Olenka</t>
  </si>
  <si>
    <t>27-822-3757</t>
  </si>
  <si>
    <t>Waverley</t>
  </si>
  <si>
    <t>50-721-2685</t>
  </si>
  <si>
    <t>Kerrie</t>
  </si>
  <si>
    <t>05-080-9721</t>
  </si>
  <si>
    <t>Adriane</t>
  </si>
  <si>
    <t>38-921-0626</t>
  </si>
  <si>
    <t>Hazel</t>
  </si>
  <si>
    <t>47-136-7638</t>
  </si>
  <si>
    <t>Maryjo</t>
  </si>
  <si>
    <t>95-844-2667</t>
  </si>
  <si>
    <t>Vernor</t>
  </si>
  <si>
    <t>00-757-8976</t>
  </si>
  <si>
    <t>Rosalyn</t>
  </si>
  <si>
    <t>61-072-5774</t>
  </si>
  <si>
    <t>Pearla</t>
  </si>
  <si>
    <t>44-991-2548</t>
  </si>
  <si>
    <t>Harlene</t>
  </si>
  <si>
    <t>75-733-7370</t>
  </si>
  <si>
    <t>Reiko</t>
  </si>
  <si>
    <t>70-301-7845</t>
  </si>
  <si>
    <t>Katleen</t>
  </si>
  <si>
    <t>61-913-0066</t>
  </si>
  <si>
    <t>Lyndell</t>
  </si>
  <si>
    <t>32-008-5156</t>
  </si>
  <si>
    <t>05-755-2924</t>
  </si>
  <si>
    <t>42-941-1350</t>
  </si>
  <si>
    <t>58-352-0991</t>
  </si>
  <si>
    <t>20-250-5959</t>
  </si>
  <si>
    <t>38-286-3220</t>
  </si>
  <si>
    <t>75-893-0330</t>
  </si>
  <si>
    <t>39-427-3031</t>
  </si>
  <si>
    <t>83-786-2666</t>
  </si>
  <si>
    <t>57-391-0392</t>
  </si>
  <si>
    <t>79-556-0547</t>
  </si>
  <si>
    <t>96-630-7878</t>
  </si>
  <si>
    <t>88-407-2614</t>
  </si>
  <si>
    <t>Laurene</t>
  </si>
  <si>
    <t>65-423-3064</t>
  </si>
  <si>
    <t>Berty</t>
  </si>
  <si>
    <t>94-116-6634</t>
  </si>
  <si>
    <t>Pepita</t>
  </si>
  <si>
    <t>59-985-2075</t>
  </si>
  <si>
    <t>39-945-5303</t>
  </si>
  <si>
    <t>Yulma</t>
  </si>
  <si>
    <t>28-204-7348</t>
  </si>
  <si>
    <t>Lorianna</t>
  </si>
  <si>
    <t>44-390-3569</t>
  </si>
  <si>
    <t>09-772-6335</t>
  </si>
  <si>
    <t>43-611-6537</t>
  </si>
  <si>
    <t>28-072-1146</t>
  </si>
  <si>
    <t>04-936-6152</t>
  </si>
  <si>
    <t>70-202-2662</t>
  </si>
  <si>
    <t>28-918-8049</t>
  </si>
  <si>
    <t>44-362-6404</t>
  </si>
  <si>
    <t>11-234-8294</t>
  </si>
  <si>
    <t>36-754-4956</t>
  </si>
  <si>
    <t>05-956-4938</t>
  </si>
  <si>
    <t>87-109-2733</t>
  </si>
  <si>
    <t>25-931-1872</t>
  </si>
  <si>
    <t>Philippine</t>
  </si>
  <si>
    <t>00-849-1643</t>
  </si>
  <si>
    <t>Rochell</t>
  </si>
  <si>
    <t>52-536-7067</t>
  </si>
  <si>
    <t>Angeline</t>
  </si>
  <si>
    <t>92-863-5825</t>
  </si>
  <si>
    <t>Yolanthe</t>
  </si>
  <si>
    <t>27-512-5768</t>
  </si>
  <si>
    <t>Johanna</t>
  </si>
  <si>
    <t>Katee</t>
  </si>
  <si>
    <t>19-999-1932</t>
  </si>
  <si>
    <t>13-015-2547</t>
  </si>
  <si>
    <t>24-185-9836</t>
  </si>
  <si>
    <t>78-672-9460</t>
  </si>
  <si>
    <t>81-302-1352</t>
  </si>
  <si>
    <t>62-391-1874</t>
  </si>
  <si>
    <t>62-310-9864</t>
  </si>
  <si>
    <t>67-251-5997</t>
  </si>
  <si>
    <t>16-576-0745</t>
  </si>
  <si>
    <t>89-792-4293</t>
  </si>
  <si>
    <t>59-263-6966</t>
  </si>
  <si>
    <t>42-043-9587</t>
  </si>
  <si>
    <t>40-322-7634</t>
  </si>
  <si>
    <t>13-223-2063</t>
  </si>
  <si>
    <t>Greer</t>
  </si>
  <si>
    <t>07-326-1225</t>
  </si>
  <si>
    <t>Bat</t>
  </si>
  <si>
    <t>04-893-9610</t>
  </si>
  <si>
    <t>Truda</t>
  </si>
  <si>
    <t>94-820-2455</t>
  </si>
  <si>
    <t>Pen</t>
  </si>
  <si>
    <t>10-498-3164</t>
  </si>
  <si>
    <t>Jaymie</t>
  </si>
  <si>
    <t>28-416-7803</t>
  </si>
  <si>
    <t>Tabby</t>
  </si>
  <si>
    <t>83-256-2623</t>
  </si>
  <si>
    <t>44-426-7890</t>
  </si>
  <si>
    <t>81-266-2503</t>
  </si>
  <si>
    <t>34-519-5677</t>
  </si>
  <si>
    <t>53-583-6324</t>
  </si>
  <si>
    <t>17-471-2210</t>
  </si>
  <si>
    <t>43-467-0968</t>
  </si>
  <si>
    <t>73-786-3979</t>
  </si>
  <si>
    <t>29-951-7706</t>
  </si>
  <si>
    <t>31-782-4511</t>
  </si>
  <si>
    <t>53-675-2341</t>
  </si>
  <si>
    <t>63-689-9604</t>
  </si>
  <si>
    <t>06-363-9708</t>
  </si>
  <si>
    <t>Teddy</t>
  </si>
  <si>
    <t>54-397-6399</t>
  </si>
  <si>
    <t>Harry</t>
  </si>
  <si>
    <t>67-246-0912</t>
  </si>
  <si>
    <t>Ebba</t>
  </si>
  <si>
    <t>23-019-2473</t>
  </si>
  <si>
    <t>Latisha</t>
  </si>
  <si>
    <t>87-569-2953</t>
  </si>
  <si>
    <t>Ronna</t>
  </si>
  <si>
    <t>Braden</t>
  </si>
  <si>
    <t>23-769-1596</t>
  </si>
  <si>
    <t>97-027-0757</t>
  </si>
  <si>
    <t>05-395-8900</t>
  </si>
  <si>
    <t>55-951-4677</t>
  </si>
  <si>
    <t>60-421-1862</t>
  </si>
  <si>
    <t>49-604-1507</t>
  </si>
  <si>
    <t>95-206-7016</t>
  </si>
  <si>
    <t>94-317-6270</t>
  </si>
  <si>
    <t>84-340-5716</t>
  </si>
  <si>
    <t>42-971-2036</t>
  </si>
  <si>
    <t>90-551-3913</t>
  </si>
  <si>
    <t>70-105-0204</t>
  </si>
  <si>
    <t>13-556-8614</t>
  </si>
  <si>
    <t>Giuditta</t>
  </si>
  <si>
    <t>47-818-1880</t>
  </si>
  <si>
    <t>Ian</t>
  </si>
  <si>
    <t>20-359-3899</t>
  </si>
  <si>
    <t>Griff</t>
  </si>
  <si>
    <t>22-838-4130</t>
  </si>
  <si>
    <t>Salomi</t>
  </si>
  <si>
    <t>79-091-9451</t>
  </si>
  <si>
    <t>Petr</t>
  </si>
  <si>
    <t>78-801-3325</t>
  </si>
  <si>
    <t>Fields</t>
  </si>
  <si>
    <t>05-220-5914</t>
  </si>
  <si>
    <t>21-796-6382</t>
  </si>
  <si>
    <t>48-694-1700</t>
  </si>
  <si>
    <t>66-275-2184</t>
  </si>
  <si>
    <t>76-685-2868</t>
  </si>
  <si>
    <t>08-313-5205</t>
  </si>
  <si>
    <t>59-750-3315</t>
  </si>
  <si>
    <t>15-800-0427</t>
  </si>
  <si>
    <t>59-165-6606</t>
  </si>
  <si>
    <t>46-412-1416</t>
  </si>
  <si>
    <t>75-391-4597</t>
  </si>
  <si>
    <t>01-449-9365</t>
  </si>
  <si>
    <t>28-258-6443</t>
  </si>
  <si>
    <t>04-180-9453</t>
  </si>
  <si>
    <t>Zeb</t>
  </si>
  <si>
    <t>67-228-8769</t>
  </si>
  <si>
    <t>Susie</t>
  </si>
  <si>
    <t>52-466-8857</t>
  </si>
  <si>
    <t>Demetra</t>
  </si>
  <si>
    <t>38-773-9466</t>
  </si>
  <si>
    <t>Pattie</t>
  </si>
  <si>
    <t>Mathilda</t>
  </si>
  <si>
    <t>03-178-7817</t>
  </si>
  <si>
    <t>Estrella</t>
  </si>
  <si>
    <t>24-295-2027</t>
  </si>
  <si>
    <t>38-860-1404</t>
  </si>
  <si>
    <t>06-666-8904</t>
  </si>
  <si>
    <t>65-696-2916</t>
  </si>
  <si>
    <t>78-584-2843</t>
  </si>
  <si>
    <t>13-622-9935</t>
  </si>
  <si>
    <t>08-639-5421</t>
  </si>
  <si>
    <t>53-301-7273</t>
  </si>
  <si>
    <t>73-444-5045</t>
  </si>
  <si>
    <t>36-476-8131</t>
  </si>
  <si>
    <t>48-228-9708</t>
  </si>
  <si>
    <t>59-847-3505</t>
  </si>
  <si>
    <t>99-859-5059</t>
  </si>
  <si>
    <t>Palm</t>
  </si>
  <si>
    <t>60-683-2431</t>
  </si>
  <si>
    <t>Les</t>
  </si>
  <si>
    <t>31-645-5220</t>
  </si>
  <si>
    <t>Bradford</t>
  </si>
  <si>
    <t>26-293-9341</t>
  </si>
  <si>
    <t>Terese</t>
  </si>
  <si>
    <t>79-521-2899</t>
  </si>
  <si>
    <t>Giustina</t>
  </si>
  <si>
    <t>01-768-5789</t>
  </si>
  <si>
    <t>Faythe</t>
  </si>
  <si>
    <t>03-423-0717</t>
  </si>
  <si>
    <t>29-939-2083</t>
  </si>
  <si>
    <t>74-341-9363</t>
  </si>
  <si>
    <t>39-456-7849</t>
  </si>
  <si>
    <t>58-777-0714</t>
  </si>
  <si>
    <t>74-286-5184</t>
  </si>
  <si>
    <t>31-948-6519</t>
  </si>
  <si>
    <t>94-991-7696</t>
  </si>
  <si>
    <t>48-034-7345</t>
  </si>
  <si>
    <t>94-008-2575</t>
  </si>
  <si>
    <t>95-966-2908</t>
  </si>
  <si>
    <t>05-336-9866</t>
  </si>
  <si>
    <t>97-686-1452</t>
  </si>
  <si>
    <t>Wilmer</t>
  </si>
  <si>
    <t>16-502-4612</t>
  </si>
  <si>
    <t>Lilllie</t>
  </si>
  <si>
    <t>97-343-5440</t>
  </si>
  <si>
    <t>Parrnell</t>
  </si>
  <si>
    <t>45-461-0835</t>
  </si>
  <si>
    <t>Rufe</t>
  </si>
  <si>
    <t>43-446-2149</t>
  </si>
  <si>
    <t>Brandie</t>
  </si>
  <si>
    <t>23-020-4703</t>
  </si>
  <si>
    <t>Lorelle</t>
  </si>
  <si>
    <t>80-135-5763</t>
  </si>
  <si>
    <t>53-641-8152</t>
  </si>
  <si>
    <t>50-663-1986</t>
  </si>
  <si>
    <t>61-160-1524</t>
  </si>
  <si>
    <t>59-090-1236</t>
  </si>
  <si>
    <t>65-086-6503</t>
  </si>
  <si>
    <t>45-527-5505</t>
  </si>
  <si>
    <t>46-391-9860</t>
  </si>
  <si>
    <t>35-136-1585</t>
  </si>
  <si>
    <t>96-836-3010</t>
  </si>
  <si>
    <t>91-384-1442</t>
  </si>
  <si>
    <t>00-297-6102</t>
  </si>
  <si>
    <t>61-372-1236</t>
  </si>
  <si>
    <t>Giffard</t>
  </si>
  <si>
    <t>60-914-1823</t>
  </si>
  <si>
    <t>Baillie</t>
  </si>
  <si>
    <t>67-319-3390</t>
  </si>
  <si>
    <t>Merci</t>
  </si>
  <si>
    <t>71-493-9760</t>
  </si>
  <si>
    <t>Huntington</t>
  </si>
  <si>
    <t>98-775-7591</t>
  </si>
  <si>
    <t>Miranda</t>
  </si>
  <si>
    <t>90-311-5709</t>
  </si>
  <si>
    <t>Lib</t>
  </si>
  <si>
    <t>18-577-3035</t>
  </si>
  <si>
    <t>Rudolf</t>
  </si>
  <si>
    <t>41-285-3207</t>
  </si>
  <si>
    <t>Feodor</t>
  </si>
  <si>
    <t>09-487-1142</t>
  </si>
  <si>
    <t>Cinderella</t>
  </si>
  <si>
    <t>77-456-4340</t>
  </si>
  <si>
    <t>Lev</t>
  </si>
  <si>
    <t>73-783-4098</t>
  </si>
  <si>
    <t>Donna</t>
  </si>
  <si>
    <t>Bonnee</t>
  </si>
  <si>
    <t>62-216-4006</t>
  </si>
  <si>
    <t>Dav</t>
  </si>
  <si>
    <t>29-877-4416</t>
  </si>
  <si>
    <t>Bertram</t>
  </si>
  <si>
    <t>Augustus</t>
  </si>
  <si>
    <t>92-302-5441</t>
  </si>
  <si>
    <t>91-594-7668</t>
  </si>
  <si>
    <t>02-048-9354</t>
  </si>
  <si>
    <t>12-182-0048</t>
  </si>
  <si>
    <t>43-033-3619</t>
  </si>
  <si>
    <t>31-749-6358</t>
  </si>
  <si>
    <t>67-741-0328</t>
  </si>
  <si>
    <t>91-118-5974</t>
  </si>
  <si>
    <t>72-067-3864</t>
  </si>
  <si>
    <t>61-119-8876</t>
  </si>
  <si>
    <t>72-498-2217</t>
  </si>
  <si>
    <t>25-724-2004</t>
  </si>
  <si>
    <t>12-284-6902</t>
  </si>
  <si>
    <t>Fleming</t>
  </si>
  <si>
    <t>Dixie</t>
  </si>
  <si>
    <t>Leone</t>
  </si>
  <si>
    <t>64-672-0080</t>
  </si>
  <si>
    <t>Claudius</t>
  </si>
  <si>
    <t>02-400-1412</t>
  </si>
  <si>
    <t>Olympe</t>
  </si>
  <si>
    <t>27-086-2133</t>
  </si>
  <si>
    <t>Nealy</t>
  </si>
  <si>
    <t>19-257-1749</t>
  </si>
  <si>
    <t>Deeanne</t>
  </si>
  <si>
    <t>99-902-2083</t>
  </si>
  <si>
    <t>Kyle</t>
  </si>
  <si>
    <t>44-869-1363</t>
  </si>
  <si>
    <t>Gonzalo</t>
  </si>
  <si>
    <t>85-058-7201</t>
  </si>
  <si>
    <t>Zacharia</t>
  </si>
  <si>
    <t>97-663-6784</t>
  </si>
  <si>
    <t>Everett</t>
  </si>
  <si>
    <t>99-421-5401</t>
  </si>
  <si>
    <t>Carl</t>
  </si>
  <si>
    <t>43-741-3419</t>
  </si>
  <si>
    <t>Claribel</t>
  </si>
  <si>
    <t>43-148-3714</t>
  </si>
  <si>
    <t>Domingo</t>
  </si>
  <si>
    <t>11-193-6684</t>
  </si>
  <si>
    <t>97-349-8778</t>
  </si>
  <si>
    <t>66-845-4777</t>
  </si>
  <si>
    <t>88-738-0288</t>
  </si>
  <si>
    <t>50-113-9869</t>
  </si>
  <si>
    <t>64-202-9640</t>
  </si>
  <si>
    <t>97-150-0808</t>
  </si>
  <si>
    <t>89-797-8152</t>
  </si>
  <si>
    <t>27-360-9341</t>
  </si>
  <si>
    <t>86-908-0109</t>
  </si>
  <si>
    <t>24-761-0274</t>
  </si>
  <si>
    <t>71-876-2447</t>
  </si>
  <si>
    <t>47-211-0816</t>
  </si>
  <si>
    <t>53-755-7907</t>
  </si>
  <si>
    <t>Marty</t>
  </si>
  <si>
    <t>98-989-6316</t>
  </si>
  <si>
    <t>Xylia</t>
  </si>
  <si>
    <t>72-604-0385</t>
  </si>
  <si>
    <t>Humphrey</t>
  </si>
  <si>
    <t>31-410-0041</t>
  </si>
  <si>
    <t>Gerianne</t>
  </si>
  <si>
    <t>18-443-4267</t>
  </si>
  <si>
    <t>Drusy</t>
  </si>
  <si>
    <t>03-290-3967</t>
  </si>
  <si>
    <t>Anallese</t>
  </si>
  <si>
    <t>47-297-9586</t>
  </si>
  <si>
    <t>Timmy</t>
  </si>
  <si>
    <t>29-719-3193</t>
  </si>
  <si>
    <t>Alleyn</t>
  </si>
  <si>
    <t>82-519-7456</t>
  </si>
  <si>
    <t>Cookie</t>
  </si>
  <si>
    <t>68-284-4309</t>
  </si>
  <si>
    <t>Roley</t>
  </si>
  <si>
    <t>30-892-7981</t>
  </si>
  <si>
    <t>Harlie</t>
  </si>
  <si>
    <t>21-008-1609</t>
  </si>
  <si>
    <t>Lona</t>
  </si>
  <si>
    <t>25-466-5896</t>
  </si>
  <si>
    <t>Bernadette</t>
  </si>
  <si>
    <t>34-269-6278</t>
  </si>
  <si>
    <t>Liuka</t>
  </si>
  <si>
    <t>Constantina</t>
  </si>
  <si>
    <t>Gena</t>
  </si>
  <si>
    <t>16-604-1716</t>
  </si>
  <si>
    <t>Luz</t>
  </si>
  <si>
    <t>83-251-1212</t>
  </si>
  <si>
    <t>Shalom</t>
  </si>
  <si>
    <t>89-993-4182</t>
  </si>
  <si>
    <t>Jabez</t>
  </si>
  <si>
    <t>63-955-5053</t>
  </si>
  <si>
    <t>Uri</t>
  </si>
  <si>
    <t>75-092-8570</t>
  </si>
  <si>
    <t>54-936-9806</t>
  </si>
  <si>
    <t>09-942-4657</t>
  </si>
  <si>
    <t>20-010-1445</t>
  </si>
  <si>
    <t>48-370-3629</t>
  </si>
  <si>
    <t>27-885-6615</t>
  </si>
  <si>
    <t>13-178-2712</t>
  </si>
  <si>
    <t>85-299-4606</t>
  </si>
  <si>
    <t>32-879-8419</t>
  </si>
  <si>
    <t>70-224-2181</t>
  </si>
  <si>
    <t>94-386-6578</t>
  </si>
  <si>
    <t>54-962-5694</t>
  </si>
  <si>
    <t>87-544-4013</t>
  </si>
  <si>
    <t>Arch</t>
  </si>
  <si>
    <t>17-277-5556</t>
  </si>
  <si>
    <t>Laurena</t>
  </si>
  <si>
    <t>45-984-7707</t>
  </si>
  <si>
    <t>Derk</t>
  </si>
  <si>
    <t>41-072-8678</t>
  </si>
  <si>
    <t>Karlens</t>
  </si>
  <si>
    <t>42-097-4030</t>
  </si>
  <si>
    <t>Annabella</t>
  </si>
  <si>
    <t>63-543-4616</t>
  </si>
  <si>
    <t>Esther</t>
  </si>
  <si>
    <t>17-732-5466</t>
  </si>
  <si>
    <t>Hector</t>
  </si>
  <si>
    <t>70-077-1873</t>
  </si>
  <si>
    <t>40-764-6165</t>
  </si>
  <si>
    <t>34-689-9665</t>
  </si>
  <si>
    <t>32-339-6925</t>
  </si>
  <si>
    <t>87-704-9765</t>
  </si>
  <si>
    <t>93-326-5475</t>
  </si>
  <si>
    <t>12-546-8250</t>
  </si>
  <si>
    <t>78-402-6421</t>
  </si>
  <si>
    <t>54-882-1330</t>
  </si>
  <si>
    <t>03-709-7480</t>
  </si>
  <si>
    <t>31-582-6547</t>
  </si>
  <si>
    <t>67-460-0048</t>
  </si>
  <si>
    <t>99-480-2711</t>
  </si>
  <si>
    <t>09-868-1924</t>
  </si>
  <si>
    <t>Jessie</t>
  </si>
  <si>
    <t>Jamal</t>
  </si>
  <si>
    <t>34-637-0615</t>
  </si>
  <si>
    <t>Aldon</t>
  </si>
  <si>
    <t>43-808-8401</t>
  </si>
  <si>
    <t>Steffie</t>
  </si>
  <si>
    <t>63-764-7459</t>
  </si>
  <si>
    <t>Nita</t>
  </si>
  <si>
    <t>80-932-4260</t>
  </si>
  <si>
    <t>Gray</t>
  </si>
  <si>
    <t>56-670-4657</t>
  </si>
  <si>
    <t>Guthrie</t>
  </si>
  <si>
    <t>18-779-5779</t>
  </si>
  <si>
    <t>Annalise</t>
  </si>
  <si>
    <t>93-322-5759</t>
  </si>
  <si>
    <t>Gusti</t>
  </si>
  <si>
    <t>85-805-9867</t>
  </si>
  <si>
    <t>Asia</t>
  </si>
  <si>
    <t>66-049-0479</t>
  </si>
  <si>
    <t>Benni</t>
  </si>
  <si>
    <t>66-513-8777</t>
  </si>
  <si>
    <t>Filberto</t>
  </si>
  <si>
    <t>22-153-9355</t>
  </si>
  <si>
    <t>Charmaine</t>
  </si>
  <si>
    <t>58-357-2500</t>
  </si>
  <si>
    <t>Daniele</t>
  </si>
  <si>
    <t>82-985-0060</t>
  </si>
  <si>
    <t>Sampson</t>
  </si>
  <si>
    <t>Karia</t>
  </si>
  <si>
    <t>94-802-6300</t>
  </si>
  <si>
    <t>Drucy</t>
  </si>
  <si>
    <t>34-409-7012</t>
  </si>
  <si>
    <t>67-931-4303</t>
  </si>
  <si>
    <t>89-744-4453</t>
  </si>
  <si>
    <t>26-120-2356</t>
  </si>
  <si>
    <t>94-896-8229</t>
  </si>
  <si>
    <t>58-657-1145</t>
  </si>
  <si>
    <t>48-108-1718</t>
  </si>
  <si>
    <t>35-123-2802</t>
  </si>
  <si>
    <t>87-198-2516</t>
  </si>
  <si>
    <t>26-036-2937</t>
  </si>
  <si>
    <t>49-906-9015</t>
  </si>
  <si>
    <t>98-615-2079</t>
  </si>
  <si>
    <t>35-565-4889</t>
  </si>
  <si>
    <t>Maxim</t>
  </si>
  <si>
    <t>57-903-8980</t>
  </si>
  <si>
    <t>Charley</t>
  </si>
  <si>
    <t>40-050-5915</t>
  </si>
  <si>
    <t>Hedy</t>
  </si>
  <si>
    <t>61-321-5087</t>
  </si>
  <si>
    <t>Arabelle</t>
  </si>
  <si>
    <t>43-148-6149</t>
  </si>
  <si>
    <t>Mariejeanne</t>
  </si>
  <si>
    <t>67-470-7366</t>
  </si>
  <si>
    <t>Adah</t>
  </si>
  <si>
    <t>Lucine</t>
  </si>
  <si>
    <t>58-834-5141</t>
  </si>
  <si>
    <t>Eachelle</t>
  </si>
  <si>
    <t>98-117-4707</t>
  </si>
  <si>
    <t>Eduino</t>
  </si>
  <si>
    <t>48-376-1001</t>
  </si>
  <si>
    <t>Donovan</t>
  </si>
  <si>
    <t>51-222-8511</t>
  </si>
  <si>
    <t>94-578-2234</t>
  </si>
  <si>
    <t>93-753-2270</t>
  </si>
  <si>
    <t>39-920-7688</t>
  </si>
  <si>
    <t>85-476-1844</t>
  </si>
  <si>
    <t>34-234-6816</t>
  </si>
  <si>
    <t>21-045-3413</t>
  </si>
  <si>
    <t>54-382-6794</t>
  </si>
  <si>
    <t>58-550-9347</t>
  </si>
  <si>
    <t>81-636-6815</t>
  </si>
  <si>
    <t>32-799-4454</t>
  </si>
  <si>
    <t>38-225-6551</t>
  </si>
  <si>
    <t>03-670-7162</t>
  </si>
  <si>
    <t>Hew</t>
  </si>
  <si>
    <t>61-848-9702</t>
  </si>
  <si>
    <t>Rici</t>
  </si>
  <si>
    <t>Ty</t>
  </si>
  <si>
    <t>10-694-9521</t>
  </si>
  <si>
    <t>14-116-8407</t>
  </si>
  <si>
    <t>31-906-5620</t>
  </si>
  <si>
    <t>22-055-5800</t>
  </si>
  <si>
    <t>02-567-9801</t>
  </si>
  <si>
    <t>69-819-8194</t>
  </si>
  <si>
    <t>58-776-4490</t>
  </si>
  <si>
    <t>44-889-3528</t>
  </si>
  <si>
    <t>32-956-5401</t>
  </si>
  <si>
    <t>28-644-5354</t>
  </si>
  <si>
    <t>57-121-3042</t>
  </si>
  <si>
    <t>42-035-5722</t>
  </si>
  <si>
    <t>91-452-3531</t>
  </si>
  <si>
    <t>40-427-2625</t>
  </si>
  <si>
    <t>70-541-5708</t>
  </si>
  <si>
    <t>34-278-7795</t>
  </si>
  <si>
    <t>42-207-4778</t>
  </si>
  <si>
    <t>43-632-0209</t>
  </si>
  <si>
    <t>78-756-0349</t>
  </si>
  <si>
    <t>88-383-7710</t>
  </si>
  <si>
    <t>91-401-3247</t>
  </si>
  <si>
    <t>45-915-8159</t>
  </si>
  <si>
    <t>42-529-3373</t>
  </si>
  <si>
    <t>Ilysa</t>
  </si>
  <si>
    <t>05-885-2636</t>
  </si>
  <si>
    <t>Sandy</t>
  </si>
  <si>
    <t>49-628-0170</t>
  </si>
  <si>
    <t>Fredrick</t>
  </si>
  <si>
    <t>72-263-9293</t>
  </si>
  <si>
    <t>Sherwynd</t>
  </si>
  <si>
    <t>86-546-2871</t>
  </si>
  <si>
    <t>79-539-9292</t>
  </si>
  <si>
    <t>Neale</t>
  </si>
  <si>
    <t>46-824-4524</t>
  </si>
  <si>
    <t>Phaedra</t>
  </si>
  <si>
    <t>80-479-4675</t>
  </si>
  <si>
    <t>Thaddeus</t>
  </si>
  <si>
    <t>11-303-8490</t>
  </si>
  <si>
    <t>Jodee</t>
  </si>
  <si>
    <t>58-756-5695</t>
  </si>
  <si>
    <t>Lynsey</t>
  </si>
  <si>
    <t>76-982-1091</t>
  </si>
  <si>
    <t>11-368-8486</t>
  </si>
  <si>
    <t>Tresa</t>
  </si>
  <si>
    <t>41-379-6432</t>
  </si>
  <si>
    <t>Theo</t>
  </si>
  <si>
    <t>14-118-0430</t>
  </si>
  <si>
    <t>Westleigh</t>
  </si>
  <si>
    <t>Sid</t>
  </si>
  <si>
    <t>25-701-8249</t>
  </si>
  <si>
    <t>Sorcha</t>
  </si>
  <si>
    <t>94-955-0677</t>
  </si>
  <si>
    <t>Merridie</t>
  </si>
  <si>
    <t>64-976-7896</t>
  </si>
  <si>
    <t>60-137-3680</t>
  </si>
  <si>
    <t>15-466-6260</t>
  </si>
  <si>
    <t>96-614-8666</t>
  </si>
  <si>
    <t>90-196-8950</t>
  </si>
  <si>
    <t>68-749-9249</t>
  </si>
  <si>
    <t>12-525-0225</t>
  </si>
  <si>
    <t>Purchase date - Year-Month</t>
  </si>
  <si>
    <t>SUM of Total Price</t>
  </si>
  <si>
    <t>2022-Sep</t>
  </si>
  <si>
    <t>2022-Sep Total</t>
  </si>
  <si>
    <t>25-955-6850 Total</t>
  </si>
  <si>
    <t>22 Total</t>
  </si>
  <si>
    <t>Abbie Total</t>
  </si>
  <si>
    <t>2022-Jan</t>
  </si>
  <si>
    <t>2022-Jan Total</t>
  </si>
  <si>
    <t>22-446-6816 Total</t>
  </si>
  <si>
    <t>35 Total</t>
  </si>
  <si>
    <t>Abby Total</t>
  </si>
  <si>
    <t>2022-May</t>
  </si>
  <si>
    <t>2022-May Total</t>
  </si>
  <si>
    <t>92-260-9635 Total</t>
  </si>
  <si>
    <t>91 Total</t>
  </si>
  <si>
    <t>Abdul Total</t>
  </si>
  <si>
    <t>67-470-7366 Total</t>
  </si>
  <si>
    <t>14 Total</t>
  </si>
  <si>
    <t>Adah Total</t>
  </si>
  <si>
    <t>2022-Dec</t>
  </si>
  <si>
    <t>2022-Dec Total</t>
  </si>
  <si>
    <t>85-382-4313 Total</t>
  </si>
  <si>
    <t>4 Total</t>
  </si>
  <si>
    <t>Adamo Total</t>
  </si>
  <si>
    <t>2022-Oct</t>
  </si>
  <si>
    <t>2022-Oct Total</t>
  </si>
  <si>
    <t>91-280-7382 Total</t>
  </si>
  <si>
    <t>80 Total</t>
  </si>
  <si>
    <t>Adan Total</t>
  </si>
  <si>
    <t>2022-Feb</t>
  </si>
  <si>
    <t>2022-Feb Total</t>
  </si>
  <si>
    <t>14-147-6240 Total</t>
  </si>
  <si>
    <t>32 Total</t>
  </si>
  <si>
    <t>Adena Total</t>
  </si>
  <si>
    <t>05-080-9721 Total</t>
  </si>
  <si>
    <t>57 Total</t>
  </si>
  <si>
    <t>Adriane Total</t>
  </si>
  <si>
    <t>2022-Mar</t>
  </si>
  <si>
    <t>2022-Mar Total</t>
  </si>
  <si>
    <t>06-337-9822 Total</t>
  </si>
  <si>
    <t>45 Total</t>
  </si>
  <si>
    <t>Aimee Total</t>
  </si>
  <si>
    <t>2022-Jul</t>
  </si>
  <si>
    <t>2022-Jul Total</t>
  </si>
  <si>
    <t>58-219-5433 Total</t>
  </si>
  <si>
    <t>92 Total</t>
  </si>
  <si>
    <t>Ainslee Total</t>
  </si>
  <si>
    <t>2022-Apr</t>
  </si>
  <si>
    <t>2022-Apr Total</t>
  </si>
  <si>
    <t>34-637-0615 Total</t>
  </si>
  <si>
    <t>28 Total</t>
  </si>
  <si>
    <t>Aldon Total</t>
  </si>
  <si>
    <t>70-509-9923 Total</t>
  </si>
  <si>
    <t>78 Total</t>
  </si>
  <si>
    <t>Alfonse Total</t>
  </si>
  <si>
    <t>2022-Jun</t>
  </si>
  <si>
    <t>2022-Jun Total</t>
  </si>
  <si>
    <t>14-446-2574 Total</t>
  </si>
  <si>
    <t>71 Total</t>
  </si>
  <si>
    <t>Alicia Total</t>
  </si>
  <si>
    <t>2022-Nov</t>
  </si>
  <si>
    <t>2022-Nov Total</t>
  </si>
  <si>
    <t>73-274-1336 Total</t>
  </si>
  <si>
    <t>69 Total</t>
  </si>
  <si>
    <t>Alisa Total</t>
  </si>
  <si>
    <t>22-059-7415 Total</t>
  </si>
  <si>
    <t>Alley Total</t>
  </si>
  <si>
    <t>29-719-3193 Total</t>
  </si>
  <si>
    <t>88 Total</t>
  </si>
  <si>
    <t>Alleyn Total</t>
  </si>
  <si>
    <t>68-801-5328 Total</t>
  </si>
  <si>
    <t>10 Total</t>
  </si>
  <si>
    <t>Alma Total</t>
  </si>
  <si>
    <t>58-423-2286 Total</t>
  </si>
  <si>
    <t>13 Total</t>
  </si>
  <si>
    <t>Amalia Total</t>
  </si>
  <si>
    <t>2022-Aug</t>
  </si>
  <si>
    <t>2022-Aug Total</t>
  </si>
  <si>
    <t>06-695-5309 Total</t>
  </si>
  <si>
    <t>8 Total</t>
  </si>
  <si>
    <t>Amber Total</t>
  </si>
  <si>
    <t>34-409-7012 Total</t>
  </si>
  <si>
    <t>1 Total</t>
  </si>
  <si>
    <t>07-704-3255 Total</t>
  </si>
  <si>
    <t>3 Total</t>
  </si>
  <si>
    <t>51-222-8511 Total</t>
  </si>
  <si>
    <t>7 Total</t>
  </si>
  <si>
    <t>76-352-6642 Total</t>
  </si>
  <si>
    <t>44-390-3569 Total</t>
  </si>
  <si>
    <t>16 Total</t>
  </si>
  <si>
    <t>98-686-3252 Total</t>
  </si>
  <si>
    <t>17 Total</t>
  </si>
  <si>
    <t>11-193-6684 Total</t>
  </si>
  <si>
    <t>57-380-6045 Total</t>
  </si>
  <si>
    <t>21 Total</t>
  </si>
  <si>
    <t>64-976-7896 Total</t>
  </si>
  <si>
    <t>26 Total</t>
  </si>
  <si>
    <t>93-868-9899 Total</t>
  </si>
  <si>
    <t>98-204-0276 Total</t>
  </si>
  <si>
    <t>30 Total</t>
  </si>
  <si>
    <t>06-796-6285 Total</t>
  </si>
  <si>
    <t>31 Total</t>
  </si>
  <si>
    <t>96-209-4385 Total</t>
  </si>
  <si>
    <t>24-295-2027 Total</t>
  </si>
  <si>
    <t>48-288-7605 Total</t>
  </si>
  <si>
    <t>98-449-6785 Total</t>
  </si>
  <si>
    <t>40 Total</t>
  </si>
  <si>
    <t>10-305-1237 Total</t>
  </si>
  <si>
    <t>41 Total</t>
  </si>
  <si>
    <t>76-273-6313 Total</t>
  </si>
  <si>
    <t>44 Total</t>
  </si>
  <si>
    <t>68-482-6975 Total</t>
  </si>
  <si>
    <t>92-302-5441 Total</t>
  </si>
  <si>
    <t>46 Total</t>
  </si>
  <si>
    <t>66-756-1821 Total</t>
  </si>
  <si>
    <t>53 Total</t>
  </si>
  <si>
    <t>32-008-5156 Total</t>
  </si>
  <si>
    <t>54 Total</t>
  </si>
  <si>
    <t>70-077-1873 Total</t>
  </si>
  <si>
    <t>77-011-4911 Total</t>
  </si>
  <si>
    <t>61 Total</t>
  </si>
  <si>
    <t>53-717-4684 Total</t>
  </si>
  <si>
    <t>62 Total</t>
  </si>
  <si>
    <t>10-694-9521 Total</t>
  </si>
  <si>
    <t>65 Total</t>
  </si>
  <si>
    <t>46-809-8239 Total</t>
  </si>
  <si>
    <t>67 Total</t>
  </si>
  <si>
    <t>57-142-1204 Total</t>
  </si>
  <si>
    <t>05-220-5914 Total</t>
  </si>
  <si>
    <t>70 Total</t>
  </si>
  <si>
    <t>59-413-9274 Total</t>
  </si>
  <si>
    <t>41-543-6767 Total</t>
  </si>
  <si>
    <t>72 Total</t>
  </si>
  <si>
    <t>23-942-3697 Total</t>
  </si>
  <si>
    <t>79 Total</t>
  </si>
  <si>
    <t>86-447-6682 Total</t>
  </si>
  <si>
    <t>34-172-4359 Total</t>
  </si>
  <si>
    <t>84 Total</t>
  </si>
  <si>
    <t>23-769-1596 Total</t>
  </si>
  <si>
    <t>86 Total</t>
  </si>
  <si>
    <t>03-423-0717 Total</t>
  </si>
  <si>
    <t>90 Total</t>
  </si>
  <si>
    <t>19-999-1932 Total</t>
  </si>
  <si>
    <t>95 Total</t>
  </si>
  <si>
    <t>75-092-8570 Total</t>
  </si>
  <si>
    <t>83-256-2623 Total</t>
  </si>
  <si>
    <t>98 Total</t>
  </si>
  <si>
    <t>Amulya Total</t>
  </si>
  <si>
    <t>59-069-0011 Total</t>
  </si>
  <si>
    <t>Anabella Total</t>
  </si>
  <si>
    <t>03-290-3967 Total</t>
  </si>
  <si>
    <t>Anallese Total</t>
  </si>
  <si>
    <t>58-245-4938 Total</t>
  </si>
  <si>
    <t>Andonis Total</t>
  </si>
  <si>
    <t>56-785-1205 Total</t>
  </si>
  <si>
    <t>11 Total</t>
  </si>
  <si>
    <t>Andros Total</t>
  </si>
  <si>
    <t>09-576-2240 Total</t>
  </si>
  <si>
    <t>6 Total</t>
  </si>
  <si>
    <t>48-372-5312 Total</t>
  </si>
  <si>
    <t>Ange Total</t>
  </si>
  <si>
    <t>52-536-7067 Total</t>
  </si>
  <si>
    <t>52 Total</t>
  </si>
  <si>
    <t>Angeline Total</t>
  </si>
  <si>
    <t>42-097-4030 Total</t>
  </si>
  <si>
    <t>Annabella Total</t>
  </si>
  <si>
    <t>18-779-5779 Total</t>
  </si>
  <si>
    <t>Annalise Total</t>
  </si>
  <si>
    <t>11-149-5653 Total</t>
  </si>
  <si>
    <t>Anne Total</t>
  </si>
  <si>
    <t>59-909-4928 Total</t>
  </si>
  <si>
    <t>39 Total</t>
  </si>
  <si>
    <t>Anny Total</t>
  </si>
  <si>
    <t>17-025-8292 Total</t>
  </si>
  <si>
    <t>56 Total</t>
  </si>
  <si>
    <t>Anselma Total</t>
  </si>
  <si>
    <t>90-480-0303 Total</t>
  </si>
  <si>
    <t>Anthia Total</t>
  </si>
  <si>
    <t>92-255-5379 Total</t>
  </si>
  <si>
    <t>25 Total</t>
  </si>
  <si>
    <t>Antonella Total</t>
  </si>
  <si>
    <t>62-891-2395 Total</t>
  </si>
  <si>
    <t>Antoni Total</t>
  </si>
  <si>
    <t>61-321-5087 Total</t>
  </si>
  <si>
    <t>Arabelle Total</t>
  </si>
  <si>
    <t>87-544-4013 Total</t>
  </si>
  <si>
    <t>Arch Total</t>
  </si>
  <si>
    <t>08-264-9757 Total</t>
  </si>
  <si>
    <t>Archibaldo Total</t>
  </si>
  <si>
    <t>13-853-4989 Total</t>
  </si>
  <si>
    <t>Arda Total</t>
  </si>
  <si>
    <t>91-624-2126 Total</t>
  </si>
  <si>
    <t>Ari Total</t>
  </si>
  <si>
    <t>10-189-6176 Total</t>
  </si>
  <si>
    <t>Aristotle Total</t>
  </si>
  <si>
    <t>25-927-1779 Total</t>
  </si>
  <si>
    <t>Arleta Total</t>
  </si>
  <si>
    <t>94-337-0289 Total</t>
  </si>
  <si>
    <t>Armin Total</t>
  </si>
  <si>
    <t>38-227-8843 Total</t>
  </si>
  <si>
    <t>Arnaldo Total</t>
  </si>
  <si>
    <t>85-805-9867 Total</t>
  </si>
  <si>
    <t>Asia Total</t>
  </si>
  <si>
    <t>74-395-6959 Total</t>
  </si>
  <si>
    <t>58 Total</t>
  </si>
  <si>
    <t>Augustus Total</t>
  </si>
  <si>
    <t>72-613-9806 Total</t>
  </si>
  <si>
    <t>64 Total</t>
  </si>
  <si>
    <t>Augy Total</t>
  </si>
  <si>
    <t>60-914-1823 Total</t>
  </si>
  <si>
    <t>Baillie Total</t>
  </si>
  <si>
    <t>23-821-5369 Total</t>
  </si>
  <si>
    <t>9 Total</t>
  </si>
  <si>
    <t>Barbey Total</t>
  </si>
  <si>
    <t>62-744-1312 Total</t>
  </si>
  <si>
    <t>83 Total</t>
  </si>
  <si>
    <t>Barby Total</t>
  </si>
  <si>
    <t>07-326-1225 Total</t>
  </si>
  <si>
    <t>Bat Total</t>
  </si>
  <si>
    <t>38-653-0051 Total</t>
  </si>
  <si>
    <t>51 Total</t>
  </si>
  <si>
    <t>Bellanca Total</t>
  </si>
  <si>
    <t>74-980-8234 Total</t>
  </si>
  <si>
    <t>42 Total</t>
  </si>
  <si>
    <t>Belva Total</t>
  </si>
  <si>
    <t>20-387-3138 Total</t>
  </si>
  <si>
    <t>36 Total</t>
  </si>
  <si>
    <t>Benedick Total</t>
  </si>
  <si>
    <t>97-413-2051 Total</t>
  </si>
  <si>
    <t>31-497-8196 Total</t>
  </si>
  <si>
    <t>Benedict Total</t>
  </si>
  <si>
    <t>85-365-6108 Total</t>
  </si>
  <si>
    <t>Benito Total</t>
  </si>
  <si>
    <t>66-049-0479 Total</t>
  </si>
  <si>
    <t>74 Total</t>
  </si>
  <si>
    <t>Benni Total</t>
  </si>
  <si>
    <t>63-474-1708 Total</t>
  </si>
  <si>
    <t>33 Total</t>
  </si>
  <si>
    <t>Benny Total</t>
  </si>
  <si>
    <t>25-466-5896 Total</t>
  </si>
  <si>
    <t>50 Total</t>
  </si>
  <si>
    <t>Bernadette Total</t>
  </si>
  <si>
    <t>18-053-9141 Total</t>
  </si>
  <si>
    <t>Bernetta Total</t>
  </si>
  <si>
    <t>29-877-4416 Total</t>
  </si>
  <si>
    <t>Bertram Total</t>
  </si>
  <si>
    <t>65-423-3064 Total</t>
  </si>
  <si>
    <t>Berty Total</t>
  </si>
  <si>
    <t>78-284-3139 Total</t>
  </si>
  <si>
    <t>Bethina Total</t>
  </si>
  <si>
    <t>19-040-1968 Total</t>
  </si>
  <si>
    <t>20 Total</t>
  </si>
  <si>
    <t>Bibi Total</t>
  </si>
  <si>
    <t>Bill Total</t>
  </si>
  <si>
    <t>91-293-3639 Total</t>
  </si>
  <si>
    <t>Binnie Total</t>
  </si>
  <si>
    <t>78-018-0252 Total</t>
  </si>
  <si>
    <t>Binny Total</t>
  </si>
  <si>
    <t>16-482-3999 Total</t>
  </si>
  <si>
    <t>Birgit Total</t>
  </si>
  <si>
    <t>41-906-9574 Total</t>
  </si>
  <si>
    <t>57-520-1134 Total</t>
  </si>
  <si>
    <t>81 Total</t>
  </si>
  <si>
    <t>Blair Total</t>
  </si>
  <si>
    <t>18-298-6166 Total</t>
  </si>
  <si>
    <t>94 Total</t>
  </si>
  <si>
    <t>Blane Total</t>
  </si>
  <si>
    <t>Blondelle Total</t>
  </si>
  <si>
    <t>48-974-4988 Total</t>
  </si>
  <si>
    <t>58-777-0714 Total</t>
  </si>
  <si>
    <t>2 Total</t>
  </si>
  <si>
    <t>91-904-7926 Total</t>
  </si>
  <si>
    <t>59-090-1236 Total</t>
  </si>
  <si>
    <t>5 Total</t>
  </si>
  <si>
    <t>35-478-1974 Total</t>
  </si>
  <si>
    <t>69-724-9981 Total</t>
  </si>
  <si>
    <t>94-411-2932 Total</t>
  </si>
  <si>
    <t>62-391-1874 Total</t>
  </si>
  <si>
    <t>18 Total</t>
  </si>
  <si>
    <t>02-441-4347 Total</t>
  </si>
  <si>
    <t>23 Total</t>
  </si>
  <si>
    <t>41-663-4364 Total</t>
  </si>
  <si>
    <t>34 Total</t>
  </si>
  <si>
    <t>93-326-5475 Total</t>
  </si>
  <si>
    <t>27-885-6615 Total</t>
  </si>
  <si>
    <t>92-233-6122 Total</t>
  </si>
  <si>
    <t>01-452-7413 Total</t>
  </si>
  <si>
    <t>60-421-1862 Total</t>
  </si>
  <si>
    <t>85-476-1844 Total</t>
  </si>
  <si>
    <t>64-202-9640 Total</t>
  </si>
  <si>
    <t>67-557-6969 Total</t>
  </si>
  <si>
    <t>59 Total</t>
  </si>
  <si>
    <t>38-286-3220 Total</t>
  </si>
  <si>
    <t>44-979-3551 Total</t>
  </si>
  <si>
    <t>31-749-6358 Total</t>
  </si>
  <si>
    <t>75-402-4273 Total</t>
  </si>
  <si>
    <t>94-896-8229 Total</t>
  </si>
  <si>
    <t>66 Total</t>
  </si>
  <si>
    <t>08-313-5205 Total</t>
  </si>
  <si>
    <t>13-622-9935 Total</t>
  </si>
  <si>
    <t>34-278-7795 Total</t>
  </si>
  <si>
    <t>04-936-6152 Total</t>
  </si>
  <si>
    <t>69-212-2140 Total</t>
  </si>
  <si>
    <t>82 Total</t>
  </si>
  <si>
    <t>06-368-3886 Total</t>
  </si>
  <si>
    <t>49-550-0037 Total</t>
  </si>
  <si>
    <t>87 Total</t>
  </si>
  <si>
    <t>29-270-6082 Total</t>
  </si>
  <si>
    <t>89 Total</t>
  </si>
  <si>
    <t>93 Total</t>
  </si>
  <si>
    <t>17-471-2210 Total</t>
  </si>
  <si>
    <t>60-395-6554 Total</t>
  </si>
  <si>
    <t>96 Total</t>
  </si>
  <si>
    <t>80-924-7279 Total</t>
  </si>
  <si>
    <t>85-914-6339 Total</t>
  </si>
  <si>
    <t>97 Total</t>
  </si>
  <si>
    <t>Bo Total</t>
  </si>
  <si>
    <t>34-660-2828 Total</t>
  </si>
  <si>
    <t>Bobbe Total</t>
  </si>
  <si>
    <t>34-337-2319 Total</t>
  </si>
  <si>
    <t>Bobette Total</t>
  </si>
  <si>
    <t>Bonnee Total</t>
  </si>
  <si>
    <t>18-574-7598 Total</t>
  </si>
  <si>
    <t>36-897-8951 Total</t>
  </si>
  <si>
    <t>Boy Total</t>
  </si>
  <si>
    <t>Braden Total</t>
  </si>
  <si>
    <t>31-645-5220 Total</t>
  </si>
  <si>
    <t>49 Total</t>
  </si>
  <si>
    <t>Bradford Total</t>
  </si>
  <si>
    <t>86-118-9388 Total</t>
  </si>
  <si>
    <t>Bran Total</t>
  </si>
  <si>
    <t>88-963-2199 Total</t>
  </si>
  <si>
    <t>Brande Total</t>
  </si>
  <si>
    <t>43-446-2149 Total</t>
  </si>
  <si>
    <t>Brandie Total</t>
  </si>
  <si>
    <t>66-654-2748 Total</t>
  </si>
  <si>
    <t>Brannon Total</t>
  </si>
  <si>
    <t>17-672-7868 Total</t>
  </si>
  <si>
    <t>73 Total</t>
  </si>
  <si>
    <t>Brew Total</t>
  </si>
  <si>
    <t>56-219-6148 Total</t>
  </si>
  <si>
    <t>Bridie Total</t>
  </si>
  <si>
    <t>52-281-8570 Total</t>
  </si>
  <si>
    <t>Bryant Total</t>
  </si>
  <si>
    <t>93-907-4098 Total</t>
  </si>
  <si>
    <t>24 Total</t>
  </si>
  <si>
    <t>Burty Total</t>
  </si>
  <si>
    <t>17-229-1019 Total</t>
  </si>
  <si>
    <t>Callie Total</t>
  </si>
  <si>
    <t>47-211-0816 Total</t>
  </si>
  <si>
    <t>03-935-2953 Total</t>
  </si>
  <si>
    <t>Candice Total</t>
  </si>
  <si>
    <t>33-248-3031 Total</t>
  </si>
  <si>
    <t>Carina Total</t>
  </si>
  <si>
    <t>37-913-6784 Total</t>
  </si>
  <si>
    <t>Cariotta Total</t>
  </si>
  <si>
    <t>16-971-0657 Total</t>
  </si>
  <si>
    <t>Carita Total</t>
  </si>
  <si>
    <t>99-421-5401 Total</t>
  </si>
  <si>
    <t>Carl Total</t>
  </si>
  <si>
    <t>80-847-6069 Total</t>
  </si>
  <si>
    <t>Caryl Total</t>
  </si>
  <si>
    <t>91-131-8601 Total</t>
  </si>
  <si>
    <t>85 Total</t>
  </si>
  <si>
    <t>Cassondra Total</t>
  </si>
  <si>
    <t>75-952-3287 Total</t>
  </si>
  <si>
    <t>27 Total</t>
  </si>
  <si>
    <t>Catherin Total</t>
  </si>
  <si>
    <t>57-903-8980 Total</t>
  </si>
  <si>
    <t>Charley Total</t>
  </si>
  <si>
    <t>22-153-9355 Total</t>
  </si>
  <si>
    <t>Charmaine Total</t>
  </si>
  <si>
    <t>26-200-0422 Total</t>
  </si>
  <si>
    <t>Chicky Total</t>
  </si>
  <si>
    <t>23-572-9903 Total</t>
  </si>
  <si>
    <t>Christa Total</t>
  </si>
  <si>
    <t>05-982-6131 Total</t>
  </si>
  <si>
    <t>Christiana Total</t>
  </si>
  <si>
    <t>50-697-9434 Total</t>
  </si>
  <si>
    <t>63 Total</t>
  </si>
  <si>
    <t>Christiano Total</t>
  </si>
  <si>
    <t>09-487-1142 Total</t>
  </si>
  <si>
    <t>100 Total</t>
  </si>
  <si>
    <t>Cinderella Total</t>
  </si>
  <si>
    <t>05-850-7285 Total</t>
  </si>
  <si>
    <t>Clarence Total</t>
  </si>
  <si>
    <t>43-741-3419 Total</t>
  </si>
  <si>
    <t>Claribel Total</t>
  </si>
  <si>
    <t>66-896-5030 Total</t>
  </si>
  <si>
    <t>Claude Total</t>
  </si>
  <si>
    <t>64-672-0080 Total</t>
  </si>
  <si>
    <t>Claudius Total</t>
  </si>
  <si>
    <t>37-918-8880 Total</t>
  </si>
  <si>
    <t>19 Total</t>
  </si>
  <si>
    <t>Clea Total</t>
  </si>
  <si>
    <t>65-723-8303 Total</t>
  </si>
  <si>
    <t>Clementius Total</t>
  </si>
  <si>
    <t>62-456-3363 Total</t>
  </si>
  <si>
    <t>Clemmy Total</t>
  </si>
  <si>
    <t>98-652-6287 Total</t>
  </si>
  <si>
    <t>Clint Total</t>
  </si>
  <si>
    <t>19-119-1645 Total</t>
  </si>
  <si>
    <t>15 Total</t>
  </si>
  <si>
    <t>Clyve Total</t>
  </si>
  <si>
    <t>36-748-3086 Total</t>
  </si>
  <si>
    <t>Coleman Total</t>
  </si>
  <si>
    <t>32-301-6514 Total</t>
  </si>
  <si>
    <t>Coletta Total</t>
  </si>
  <si>
    <t>68 Total</t>
  </si>
  <si>
    <t>Constantina Total</t>
  </si>
  <si>
    <t>82-519-7456 Total</t>
  </si>
  <si>
    <t>Cookie Total</t>
  </si>
  <si>
    <t>58-118-8575 Total</t>
  </si>
  <si>
    <t>Coralie Total</t>
  </si>
  <si>
    <t>94-361-6637 Total</t>
  </si>
  <si>
    <t>Corbet Total</t>
  </si>
  <si>
    <t>28-457-9602 Total</t>
  </si>
  <si>
    <t>Cordula Total</t>
  </si>
  <si>
    <t>72-538-6043 Total</t>
  </si>
  <si>
    <t>Correna Total</t>
  </si>
  <si>
    <t>01-286-1856 Total</t>
  </si>
  <si>
    <t>Correy Total</t>
  </si>
  <si>
    <t>46-712-5615 Total</t>
  </si>
  <si>
    <t>Courtney Total</t>
  </si>
  <si>
    <t>05-395-8900 Total</t>
  </si>
  <si>
    <t>89-744-4453 Total</t>
  </si>
  <si>
    <t>72-461-0404 Total</t>
  </si>
  <si>
    <t>50-663-1986 Total</t>
  </si>
  <si>
    <t>88-738-0288 Total</t>
  </si>
  <si>
    <t>93-753-2270 Total</t>
  </si>
  <si>
    <t>29 Total</t>
  </si>
  <si>
    <t>01-254-4758 Total</t>
  </si>
  <si>
    <t>22-055-5800 Total</t>
  </si>
  <si>
    <t>12-182-0048 Total</t>
  </si>
  <si>
    <t>40-427-2625 Total</t>
  </si>
  <si>
    <t>43-611-6537 Total</t>
  </si>
  <si>
    <t>47 Total</t>
  </si>
  <si>
    <t>58-352-0991 Total</t>
  </si>
  <si>
    <t>32-339-6925 Total</t>
  </si>
  <si>
    <t>67-171-2883 Total</t>
  </si>
  <si>
    <t>58-431-8456 Total</t>
  </si>
  <si>
    <t>78-672-9460 Total</t>
  </si>
  <si>
    <t>55 Total</t>
  </si>
  <si>
    <t>96-614-8666 Total</t>
  </si>
  <si>
    <t>66-917-4324 Total</t>
  </si>
  <si>
    <t>48-200-5475 Total</t>
  </si>
  <si>
    <t>65-696-2916 Total</t>
  </si>
  <si>
    <t>87-408-6470 Total</t>
  </si>
  <si>
    <t>16-018-5424 Total</t>
  </si>
  <si>
    <t>47-684-8549 Total</t>
  </si>
  <si>
    <t>75 Total</t>
  </si>
  <si>
    <t>20-010-1445 Total</t>
  </si>
  <si>
    <t>66-275-2184 Total</t>
  </si>
  <si>
    <t>77 Total</t>
  </si>
  <si>
    <t>13-453-5580 Total</t>
  </si>
  <si>
    <t>93-263-6686 Total</t>
  </si>
  <si>
    <t>93-142-9596 Total</t>
  </si>
  <si>
    <t>34-519-5677 Total</t>
  </si>
  <si>
    <t>23-033-3329 Total</t>
  </si>
  <si>
    <t>Cris Total</t>
  </si>
  <si>
    <t>97-489-6457 Total</t>
  </si>
  <si>
    <t>D'arcy Total</t>
  </si>
  <si>
    <t>22-550-0387 Total</t>
  </si>
  <si>
    <t>Daisey Total</t>
  </si>
  <si>
    <t>58-357-2500 Total</t>
  </si>
  <si>
    <t>Daniele Total</t>
  </si>
  <si>
    <t>04-958-9334 Total</t>
  </si>
  <si>
    <t>86-325-7128 Total</t>
  </si>
  <si>
    <t>Danielle Total</t>
  </si>
  <si>
    <t>02-394-7874 Total</t>
  </si>
  <si>
    <t>Darla Total</t>
  </si>
  <si>
    <t>62-216-4006 Total</t>
  </si>
  <si>
    <t>Dav Total</t>
  </si>
  <si>
    <t>47-387-4481 Total</t>
  </si>
  <si>
    <t>Deanne Total</t>
  </si>
  <si>
    <t>05-627-8390 Total</t>
  </si>
  <si>
    <t>12 Total</t>
  </si>
  <si>
    <t>Debra Total</t>
  </si>
  <si>
    <t>19-257-1749 Total</t>
  </si>
  <si>
    <t>Deeanne Total</t>
  </si>
  <si>
    <t>Delaney Total</t>
  </si>
  <si>
    <t>52-466-8857 Total</t>
  </si>
  <si>
    <t>Demetra Total</t>
  </si>
  <si>
    <t>21-395-1695 Total</t>
  </si>
  <si>
    <t>Derick Total</t>
  </si>
  <si>
    <t>45-984-7707 Total</t>
  </si>
  <si>
    <t>Derk Total</t>
  </si>
  <si>
    <t>84-336-8457 Total</t>
  </si>
  <si>
    <t>Devland Total</t>
  </si>
  <si>
    <t>78-205-0042 Total</t>
  </si>
  <si>
    <t>Devon Total</t>
  </si>
  <si>
    <t>72-422-0776 Total</t>
  </si>
  <si>
    <t>Dillon Total</t>
  </si>
  <si>
    <t>Dixie Total</t>
  </si>
  <si>
    <t>43-148-3714 Total</t>
  </si>
  <si>
    <t>Domingo Total</t>
  </si>
  <si>
    <t>73-783-4098 Total</t>
  </si>
  <si>
    <t>Donna Total</t>
  </si>
  <si>
    <t>48-376-1001 Total</t>
  </si>
  <si>
    <t>Donovan Total</t>
  </si>
  <si>
    <t>36-116-5262 Total</t>
  </si>
  <si>
    <t>Dorette Total</t>
  </si>
  <si>
    <t>58-883-3118 Total</t>
  </si>
  <si>
    <t>Dorey Total</t>
  </si>
  <si>
    <t>94-802-6300 Total</t>
  </si>
  <si>
    <t>Drucy Total</t>
  </si>
  <si>
    <t>18-443-4267 Total</t>
  </si>
  <si>
    <t>Drusy Total</t>
  </si>
  <si>
    <t>07-983-9515 Total</t>
  </si>
  <si>
    <t>60 Total</t>
  </si>
  <si>
    <t>Dulcea Total</t>
  </si>
  <si>
    <t>58-834-5141 Total</t>
  </si>
  <si>
    <t>Eachelle Total</t>
  </si>
  <si>
    <t>67-246-0912 Total</t>
  </si>
  <si>
    <t>Ebba Total</t>
  </si>
  <si>
    <t>63-683-0411 Total</t>
  </si>
  <si>
    <t>Ebony Total</t>
  </si>
  <si>
    <t>98-117-4707 Total</t>
  </si>
  <si>
    <t>Eduino Total</t>
  </si>
  <si>
    <t>10-068-0883 Total</t>
  </si>
  <si>
    <t>Edward Total</t>
  </si>
  <si>
    <t>04-561-6453 Total</t>
  </si>
  <si>
    <t>Elbertina Total</t>
  </si>
  <si>
    <t>78-963-0599 Total</t>
  </si>
  <si>
    <t>Elita Total</t>
  </si>
  <si>
    <t>88-662-4646 Total</t>
  </si>
  <si>
    <t>Emmy Total</t>
  </si>
  <si>
    <t>Engracia Total</t>
  </si>
  <si>
    <t>43-592-1177 Total</t>
  </si>
  <si>
    <t>Ernesto Total</t>
  </si>
  <si>
    <t>98-698-3972 Total</t>
  </si>
  <si>
    <t>Ernie Total</t>
  </si>
  <si>
    <t>51-094-9972 Total</t>
  </si>
  <si>
    <t>Esme Total</t>
  </si>
  <si>
    <t>63-543-4616 Total</t>
  </si>
  <si>
    <t>Esther Total</t>
  </si>
  <si>
    <t>03-178-7817 Total</t>
  </si>
  <si>
    <t>Estrella Total</t>
  </si>
  <si>
    <t>Ethe Total</t>
  </si>
  <si>
    <t>80-128-0094 Total</t>
  </si>
  <si>
    <t>Ethelda Total</t>
  </si>
  <si>
    <t>29-036-0262 Total</t>
  </si>
  <si>
    <t>Evelina Total</t>
  </si>
  <si>
    <t>97-663-6784 Total</t>
  </si>
  <si>
    <t>Everett Total</t>
  </si>
  <si>
    <t>29-429-1656 Total</t>
  </si>
  <si>
    <t>Faber Total</t>
  </si>
  <si>
    <t>Fancie Total</t>
  </si>
  <si>
    <t>26-666-4708 Total</t>
  </si>
  <si>
    <t>Farris Total</t>
  </si>
  <si>
    <t>01-768-5789 Total</t>
  </si>
  <si>
    <t>Faythe Total</t>
  </si>
  <si>
    <t>41-285-3207 Total</t>
  </si>
  <si>
    <t>Feodor Total</t>
  </si>
  <si>
    <t>35-127-1955 Total</t>
  </si>
  <si>
    <t>Ferd Total</t>
  </si>
  <si>
    <t>78-801-3325 Total</t>
  </si>
  <si>
    <t>Fields Total</t>
  </si>
  <si>
    <t>66-513-8777 Total</t>
  </si>
  <si>
    <t>Filberto Total</t>
  </si>
  <si>
    <t>12-284-6902 Total</t>
  </si>
  <si>
    <t>Fleming Total</t>
  </si>
  <si>
    <t>43-213-1688 Total</t>
  </si>
  <si>
    <t>Flemming Total</t>
  </si>
  <si>
    <t>11-641-3372 Total</t>
  </si>
  <si>
    <t>12-546-8250 Total</t>
  </si>
  <si>
    <t>28-052-6114 Total</t>
  </si>
  <si>
    <t>08-639-5421 Total</t>
  </si>
  <si>
    <t>24-489-4683 Total</t>
  </si>
  <si>
    <t>43-263-5871 Total</t>
  </si>
  <si>
    <t>43-467-0968 Total</t>
  </si>
  <si>
    <t>65-086-6503 Total</t>
  </si>
  <si>
    <t>96-947-8178 Total</t>
  </si>
  <si>
    <t>15-672-1516 Total</t>
  </si>
  <si>
    <t>11-641-6254 Total</t>
  </si>
  <si>
    <t>25-393-7858 Total</t>
  </si>
  <si>
    <t>74-286-5184 Total</t>
  </si>
  <si>
    <t>13-784-8361 Total</t>
  </si>
  <si>
    <t>37 Total</t>
  </si>
  <si>
    <t>13-178-2712 Total</t>
  </si>
  <si>
    <t>70-202-2662 Total</t>
  </si>
  <si>
    <t>92-916-6098 Total</t>
  </si>
  <si>
    <t>48 Total</t>
  </si>
  <si>
    <t>83-490-2582 Total</t>
  </si>
  <si>
    <t>91-797-1922 Total</t>
  </si>
  <si>
    <t>58-859-9225 Total</t>
  </si>
  <si>
    <t>44-269-9013 Total</t>
  </si>
  <si>
    <t>34-234-6816 Total</t>
  </si>
  <si>
    <t>96-314-6950 Total</t>
  </si>
  <si>
    <t>67-741-0328 Total</t>
  </si>
  <si>
    <t>12-493-0479 Total</t>
  </si>
  <si>
    <t>97-150-0808 Total</t>
  </si>
  <si>
    <t>59-750-3315 Total</t>
  </si>
  <si>
    <t>68-749-9249 Total</t>
  </si>
  <si>
    <t>55-601-7177 Total</t>
  </si>
  <si>
    <t>62-310-9864 Total</t>
  </si>
  <si>
    <t>42-207-4778 Total</t>
  </si>
  <si>
    <t>76 Total</t>
  </si>
  <si>
    <t>93-117-5318 Total</t>
  </si>
  <si>
    <t>51-376-9050 Total</t>
  </si>
  <si>
    <t>70-155-8579 Total</t>
  </si>
  <si>
    <t>75-893-0330 Total</t>
  </si>
  <si>
    <t>58-657-1145 Total</t>
  </si>
  <si>
    <t>19-547-5557 Total</t>
  </si>
  <si>
    <t>69-819-8194 Total</t>
  </si>
  <si>
    <t>64-695-9444 Total</t>
  </si>
  <si>
    <t>99 Total</t>
  </si>
  <si>
    <t>49-604-1507 Total</t>
  </si>
  <si>
    <t>Francis Total</t>
  </si>
  <si>
    <t>44-426-7890 Total</t>
  </si>
  <si>
    <t>05-755-2924 Total</t>
  </si>
  <si>
    <t>54-936-9806 Total</t>
  </si>
  <si>
    <t>01-700-3963 Total</t>
  </si>
  <si>
    <t>16-261-2265 Total</t>
  </si>
  <si>
    <t>21-796-6382 Total</t>
  </si>
  <si>
    <t>60-524-9332 Total</t>
  </si>
  <si>
    <t>13-520-0875 Total</t>
  </si>
  <si>
    <t>60-137-3680 Total</t>
  </si>
  <si>
    <t>76-761-6165 Total</t>
  </si>
  <si>
    <t>38-860-1404 Total</t>
  </si>
  <si>
    <t>80-135-5763 Total</t>
  </si>
  <si>
    <t>67-931-4303 Total</t>
  </si>
  <si>
    <t>94-578-2234 Total</t>
  </si>
  <si>
    <t>43-971-9364 Total</t>
  </si>
  <si>
    <t>91-594-7668 Total</t>
  </si>
  <si>
    <t>29-939-2083 Total</t>
  </si>
  <si>
    <t>98-790-2548 Total</t>
  </si>
  <si>
    <t>52-302-2407 Total</t>
  </si>
  <si>
    <t>40-764-6165 Total</t>
  </si>
  <si>
    <t>14-116-8407 Total</t>
  </si>
  <si>
    <t>13-015-2547 Total</t>
  </si>
  <si>
    <t>30-966-2227 Total</t>
  </si>
  <si>
    <t>97-349-8778 Total</t>
  </si>
  <si>
    <t>66-556-5232 Total</t>
  </si>
  <si>
    <t>73-048-6976 Total</t>
  </si>
  <si>
    <t>27-232-6503 Total</t>
  </si>
  <si>
    <t>58-653-4282 Total</t>
  </si>
  <si>
    <t>93-407-6217 Total</t>
  </si>
  <si>
    <t>86-227-4274 Total</t>
  </si>
  <si>
    <t>04-374-6745 Total</t>
  </si>
  <si>
    <t>11-301-3410 Total</t>
  </si>
  <si>
    <t>03-297-9653 Total</t>
  </si>
  <si>
    <t>05-726-4008 Total</t>
  </si>
  <si>
    <t>12-067-8467 Total</t>
  </si>
  <si>
    <t>97-027-0757 Total</t>
  </si>
  <si>
    <t>96-763-6900 Total</t>
  </si>
  <si>
    <t>Frankie Total</t>
  </si>
  <si>
    <t>65-904-4034 Total</t>
  </si>
  <si>
    <t>Fraze Total</t>
  </si>
  <si>
    <t>49-628-0170 Total</t>
  </si>
  <si>
    <t>Fredrick Total</t>
  </si>
  <si>
    <t>74-665-2031 Total</t>
  </si>
  <si>
    <t>Freedman Total</t>
  </si>
  <si>
    <t>88-313-8965 Total</t>
  </si>
  <si>
    <t>Freida Total</t>
  </si>
  <si>
    <t>71-860-9013 Total</t>
  </si>
  <si>
    <t>Gabey Total</t>
  </si>
  <si>
    <t>51-929-4065 Total</t>
  </si>
  <si>
    <t>64-887-0449 Total</t>
  </si>
  <si>
    <t>77-357-1136 Total</t>
  </si>
  <si>
    <t>12-239-4888 Total</t>
  </si>
  <si>
    <t>01-600-7497 Total</t>
  </si>
  <si>
    <t>02-567-9801 Total</t>
  </si>
  <si>
    <t>68-292-2037 Total</t>
  </si>
  <si>
    <t>43-033-3619 Total</t>
  </si>
  <si>
    <t>48-370-3629 Total</t>
  </si>
  <si>
    <t>04-297-7607 Total</t>
  </si>
  <si>
    <t>80-017-6272 Total</t>
  </si>
  <si>
    <t>28-072-1146 Total</t>
  </si>
  <si>
    <t>26-120-2356 Total</t>
  </si>
  <si>
    <t>38 Total</t>
  </si>
  <si>
    <t>78-584-2843 Total</t>
  </si>
  <si>
    <t>55-951-4677 Total</t>
  </si>
  <si>
    <t>81-302-1352 Total</t>
  </si>
  <si>
    <t>43 Total</t>
  </si>
  <si>
    <t>53-583-6324 Total</t>
  </si>
  <si>
    <t>39-920-7688 Total</t>
  </si>
  <si>
    <t>87-704-9765 Total</t>
  </si>
  <si>
    <t>10-538-2688 Total</t>
  </si>
  <si>
    <t>76-685-2868 Total</t>
  </si>
  <si>
    <t>61-450-8094 Total</t>
  </si>
  <si>
    <t>43-818-3608 Total</t>
  </si>
  <si>
    <t>70-541-5708 Total</t>
  </si>
  <si>
    <t>13-316-5262 Total</t>
  </si>
  <si>
    <t>20-169-9492 Total</t>
  </si>
  <si>
    <t>75-018-3472 Total</t>
  </si>
  <si>
    <t>64-516-9760 Total</t>
  </si>
  <si>
    <t>39-827-1681 Total</t>
  </si>
  <si>
    <t>50-113-9869 Total</t>
  </si>
  <si>
    <t>08-611-7434 Total</t>
  </si>
  <si>
    <t>61-160-1524 Total</t>
  </si>
  <si>
    <t>90-196-8950 Total</t>
  </si>
  <si>
    <t>58-318-2067 Total</t>
  </si>
  <si>
    <t>39-456-7849 Total</t>
  </si>
  <si>
    <t>20-250-5959 Total</t>
  </si>
  <si>
    <t>Gabriel Total</t>
  </si>
  <si>
    <t>39-070-9745 Total</t>
  </si>
  <si>
    <t>Gabriela Total</t>
  </si>
  <si>
    <t>35-229-8299 Total</t>
  </si>
  <si>
    <t>Gard Total</t>
  </si>
  <si>
    <t>51-928-4792 Total</t>
  </si>
  <si>
    <t>Garrek Total</t>
  </si>
  <si>
    <t>Gena Total</t>
  </si>
  <si>
    <t>31-410-0041 Total</t>
  </si>
  <si>
    <t>Gerianne Total</t>
  </si>
  <si>
    <t>61-372-1236 Total</t>
  </si>
  <si>
    <t>Giffard Total</t>
  </si>
  <si>
    <t>68-774-9448 Total</t>
  </si>
  <si>
    <t>Giorgia Total</t>
  </si>
  <si>
    <t>13-556-8614 Total</t>
  </si>
  <si>
    <t>Giuditta Total</t>
  </si>
  <si>
    <t>04-050-7430 Total</t>
  </si>
  <si>
    <t>Giulio Total</t>
  </si>
  <si>
    <t>79-521-2899 Total</t>
  </si>
  <si>
    <t>Giustina Total</t>
  </si>
  <si>
    <t>74-569-3919 Total</t>
  </si>
  <si>
    <t>Glenda Total</t>
  </si>
  <si>
    <t>44-869-1363 Total</t>
  </si>
  <si>
    <t>Gonzalo Total</t>
  </si>
  <si>
    <t>54-236-9088 Total</t>
  </si>
  <si>
    <t>Grantham Total</t>
  </si>
  <si>
    <t>80-932-4260 Total</t>
  </si>
  <si>
    <t>Gray Total</t>
  </si>
  <si>
    <t>13-223-2063 Total</t>
  </si>
  <si>
    <t>Greer Total</t>
  </si>
  <si>
    <t>17-554-3792 Total</t>
  </si>
  <si>
    <t>Gregoire Total</t>
  </si>
  <si>
    <t>20-359-3899 Total</t>
  </si>
  <si>
    <t>Griff Total</t>
  </si>
  <si>
    <t>29-944-2413 Total</t>
  </si>
  <si>
    <t>Guglielmo Total</t>
  </si>
  <si>
    <t>91-040-7517 Total</t>
  </si>
  <si>
    <t>Guilbert Total</t>
  </si>
  <si>
    <t>56-045-7330 Total</t>
  </si>
  <si>
    <t>Guinevere Total</t>
  </si>
  <si>
    <t>93-322-5759 Total</t>
  </si>
  <si>
    <t>Gusti Total</t>
  </si>
  <si>
    <t>56-670-4657 Total</t>
  </si>
  <si>
    <t>Guthrie Total</t>
  </si>
  <si>
    <t>62-149-4184 Total</t>
  </si>
  <si>
    <t>Gwenora Total</t>
  </si>
  <si>
    <t>98-952-0614 Total</t>
  </si>
  <si>
    <t>Hadria Total</t>
  </si>
  <si>
    <t>98-957-5791 Total</t>
  </si>
  <si>
    <t>Hali Total</t>
  </si>
  <si>
    <t>40-459-7439 Total</t>
  </si>
  <si>
    <t>Hall Total</t>
  </si>
  <si>
    <t>44-991-2548 Total</t>
  </si>
  <si>
    <t>Harlene Total</t>
  </si>
  <si>
    <t>30-892-7981 Total</t>
  </si>
  <si>
    <t>Harlie Total</t>
  </si>
  <si>
    <t>54-397-6399 Total</t>
  </si>
  <si>
    <t>Harry Total</t>
  </si>
  <si>
    <t>62-194-2116 Total</t>
  </si>
  <si>
    <t>Hayes Total</t>
  </si>
  <si>
    <t>38-921-0626 Total</t>
  </si>
  <si>
    <t>Hazel Total</t>
  </si>
  <si>
    <t>17-732-5466 Total</t>
  </si>
  <si>
    <t>Hector Total</t>
  </si>
  <si>
    <t>40-050-5915 Total</t>
  </si>
  <si>
    <t>Hedy Total</t>
  </si>
  <si>
    <t>Heidi Total</t>
  </si>
  <si>
    <t>48-076-6299 Total</t>
  </si>
  <si>
    <t>Hermie Total</t>
  </si>
  <si>
    <t>96-386-6913 Total</t>
  </si>
  <si>
    <t>Hermione Total</t>
  </si>
  <si>
    <t>90-843-6384 Total</t>
  </si>
  <si>
    <t>Hershel Total</t>
  </si>
  <si>
    <t>27-508-3672 Total</t>
  </si>
  <si>
    <t>Hester Total</t>
  </si>
  <si>
    <t>03-670-7162 Total</t>
  </si>
  <si>
    <t>Hew Total</t>
  </si>
  <si>
    <t>85-770-0575 Total</t>
  </si>
  <si>
    <t>Holly Total</t>
  </si>
  <si>
    <t>52-096-3903 Total</t>
  </si>
  <si>
    <t>96-145-1264 Total</t>
  </si>
  <si>
    <t>Holmes Total</t>
  </si>
  <si>
    <t>85-474-3815 Total</t>
  </si>
  <si>
    <t>Holt Total</t>
  </si>
  <si>
    <t>89-233-1448 Total</t>
  </si>
  <si>
    <t>Honey Total</t>
  </si>
  <si>
    <t>34-012-4238 Total</t>
  </si>
  <si>
    <t>Honoria Total</t>
  </si>
  <si>
    <t>72-604-0385 Total</t>
  </si>
  <si>
    <t>Humphrey Total</t>
  </si>
  <si>
    <t>71-493-9760 Total</t>
  </si>
  <si>
    <t>Huntington Total</t>
  </si>
  <si>
    <t>47-818-1880 Total</t>
  </si>
  <si>
    <t>Ian Total</t>
  </si>
  <si>
    <t>Idelle Total</t>
  </si>
  <si>
    <t>42-529-3373 Total</t>
  </si>
  <si>
    <t>Ilysa Total</t>
  </si>
  <si>
    <t>34-689-9665 Total</t>
  </si>
  <si>
    <t>27-351-0078 Total</t>
  </si>
  <si>
    <t>09-942-4657 Total</t>
  </si>
  <si>
    <t>35-464-0529 Total</t>
  </si>
  <si>
    <t>15-466-6260 Total</t>
  </si>
  <si>
    <t>42-941-1350 Total</t>
  </si>
  <si>
    <t>87-994-3309 Total</t>
  </si>
  <si>
    <t>81-761-0308 Total</t>
  </si>
  <si>
    <t>06-666-8904 Total</t>
  </si>
  <si>
    <t>79-637-2406 Total</t>
  </si>
  <si>
    <t>53-459-9211 Total</t>
  </si>
  <si>
    <t>02-048-9354 Total</t>
  </si>
  <si>
    <t>85-038-7852 Total</t>
  </si>
  <si>
    <t>09-772-6335 Total</t>
  </si>
  <si>
    <t>53-212-3835 Total</t>
  </si>
  <si>
    <t>10-737-0489 Total</t>
  </si>
  <si>
    <t>66-845-4777 Total</t>
  </si>
  <si>
    <t>55-670-2339 Total</t>
  </si>
  <si>
    <t>53-641-8152 Total</t>
  </si>
  <si>
    <t>25-755-7122 Total</t>
  </si>
  <si>
    <t>81-266-2503 Total</t>
  </si>
  <si>
    <t>91-452-3531 Total</t>
  </si>
  <si>
    <t>48-694-1700 Total</t>
  </si>
  <si>
    <t>36-177-7181 Total</t>
  </si>
  <si>
    <t>24-781-0123 Total</t>
  </si>
  <si>
    <t>06-712-7811 Total</t>
  </si>
  <si>
    <t>24-185-9836 Total</t>
  </si>
  <si>
    <t>31-906-5620 Total</t>
  </si>
  <si>
    <t>74-341-9363 Total</t>
  </si>
  <si>
    <t>57-587-8703 Total</t>
  </si>
  <si>
    <t>Iman Total</t>
  </si>
  <si>
    <t>49-445-1435 Total</t>
  </si>
  <si>
    <t>Inna Total</t>
  </si>
  <si>
    <t>78-635-7000 Total</t>
  </si>
  <si>
    <t>Itch Total</t>
  </si>
  <si>
    <t>89-993-4182 Total</t>
  </si>
  <si>
    <t>Jabez Total</t>
  </si>
  <si>
    <t>11-411-4640 Total</t>
  </si>
  <si>
    <t>Jacklyn Total</t>
  </si>
  <si>
    <t>75-909-6197 Total</t>
  </si>
  <si>
    <t>Jacquette Total</t>
  </si>
  <si>
    <t>30-131-2695 Total</t>
  </si>
  <si>
    <t>49-200-8922 Total</t>
  </si>
  <si>
    <t>16-617-7604 Total</t>
  </si>
  <si>
    <t>88-383-7710 Total</t>
  </si>
  <si>
    <t>59-263-6966 Total</t>
  </si>
  <si>
    <t>74-695-0470 Total</t>
  </si>
  <si>
    <t>46-185-4188 Total</t>
  </si>
  <si>
    <t>96-836-3010 Total</t>
  </si>
  <si>
    <t>22-428-0850 Total</t>
  </si>
  <si>
    <t>31-782-4511 Total</t>
  </si>
  <si>
    <t>31-582-6547 Total</t>
  </si>
  <si>
    <t>12-462-4567 Total</t>
  </si>
  <si>
    <t>57-353-5139 Total</t>
  </si>
  <si>
    <t>94-386-6578 Total</t>
  </si>
  <si>
    <t>66-544-7052 Total</t>
  </si>
  <si>
    <t>08-673-7322 Total</t>
  </si>
  <si>
    <t>43-155-1940 Total</t>
  </si>
  <si>
    <t>28-644-5354 Total</t>
  </si>
  <si>
    <t>49-629-8348 Total</t>
  </si>
  <si>
    <t>40-160-9965 Total</t>
  </si>
  <si>
    <t>55-370-2700 Total</t>
  </si>
  <si>
    <t>22-838-0752 Total</t>
  </si>
  <si>
    <t>28-340-8860 Total</t>
  </si>
  <si>
    <t>32-059-0363 Total</t>
  </si>
  <si>
    <t>94-008-2575 Total</t>
  </si>
  <si>
    <t>36-754-4956 Total</t>
  </si>
  <si>
    <t>86-908-0109 Total</t>
  </si>
  <si>
    <t>42-971-2036 Total</t>
  </si>
  <si>
    <t>27-359-6961 Total</t>
  </si>
  <si>
    <t>26-036-2937 Total</t>
  </si>
  <si>
    <t>71-693-8499 Total</t>
  </si>
  <si>
    <t>38-302-3268 Total</t>
  </si>
  <si>
    <t>36-476-8131 Total</t>
  </si>
  <si>
    <t>72-498-2217 Total</t>
  </si>
  <si>
    <t>75-391-4597 Total</t>
  </si>
  <si>
    <t>57-171-5375 Total</t>
  </si>
  <si>
    <t>81-636-6815 Total</t>
  </si>
  <si>
    <t>57-391-0392 Total</t>
  </si>
  <si>
    <t>Jaime Total</t>
  </si>
  <si>
    <t>Jamal Total</t>
  </si>
  <si>
    <t>61-393-7465 Total</t>
  </si>
  <si>
    <t>Jamey Total</t>
  </si>
  <si>
    <t>09-321-4236 Total</t>
  </si>
  <si>
    <t>Jamima Total</t>
  </si>
  <si>
    <t>27-467-0354 Total</t>
  </si>
  <si>
    <t>Janeczka Total</t>
  </si>
  <si>
    <t>65-849-9996 Total</t>
  </si>
  <si>
    <t>Janella Total</t>
  </si>
  <si>
    <t>02-588-5234 Total</t>
  </si>
  <si>
    <t>Janessa Total</t>
  </si>
  <si>
    <t>10-864-2850 Total</t>
  </si>
  <si>
    <t>Janette Total</t>
  </si>
  <si>
    <t>07-698-8343 Total</t>
  </si>
  <si>
    <t>Janith Total</t>
  </si>
  <si>
    <t>62-190-2771 Total</t>
  </si>
  <si>
    <t>Jarret Total</t>
  </si>
  <si>
    <t>10-498-3164 Total</t>
  </si>
  <si>
    <t>Jaymie Total</t>
  </si>
  <si>
    <t>68-321-2546 Total</t>
  </si>
  <si>
    <t>Jeralee Total</t>
  </si>
  <si>
    <t>15-650-7304 Total</t>
  </si>
  <si>
    <t>Jereme Total</t>
  </si>
  <si>
    <t>19-217-2530 Total</t>
  </si>
  <si>
    <t>Jerrie Total</t>
  </si>
  <si>
    <t>29-368-7788 Total</t>
  </si>
  <si>
    <t>Jesse Total</t>
  </si>
  <si>
    <t>09-868-1924 Total</t>
  </si>
  <si>
    <t>Jessie Total</t>
  </si>
  <si>
    <t>11-303-8490 Total</t>
  </si>
  <si>
    <t>Jodee Total</t>
  </si>
  <si>
    <t>52-185-0616 Total</t>
  </si>
  <si>
    <t>Jodie Total</t>
  </si>
  <si>
    <t>27-512-5768 Total</t>
  </si>
  <si>
    <t>Johanna Total</t>
  </si>
  <si>
    <t>19-360-9089 Total</t>
  </si>
  <si>
    <t>Jonis Total</t>
  </si>
  <si>
    <t>Josefa Total</t>
  </si>
  <si>
    <t>50-570-3450 Total</t>
  </si>
  <si>
    <t>Joseph Total</t>
  </si>
  <si>
    <t>65-497-6751 Total</t>
  </si>
  <si>
    <t>Josey Total</t>
  </si>
  <si>
    <t>24-159-4840 Total</t>
  </si>
  <si>
    <t>Jourdain Total</t>
  </si>
  <si>
    <t>67-460-0048 Total</t>
  </si>
  <si>
    <t>18-359-0304 Total</t>
  </si>
  <si>
    <t>53-675-2341 Total</t>
  </si>
  <si>
    <t>87-161-8291 Total</t>
  </si>
  <si>
    <t>12-263-0898 Total</t>
  </si>
  <si>
    <t>95-966-2908 Total</t>
  </si>
  <si>
    <t>13-890-0143 Total</t>
  </si>
  <si>
    <t>91-401-3247 Total</t>
  </si>
  <si>
    <t>79-556-0547 Total</t>
  </si>
  <si>
    <t>48-228-9708 Total</t>
  </si>
  <si>
    <t>81-306-6264 Total</t>
  </si>
  <si>
    <t>06-569-2169 Total</t>
  </si>
  <si>
    <t>16-566-9848 Total</t>
  </si>
  <si>
    <t>49-573-1958 Total</t>
  </si>
  <si>
    <t>49-906-9015 Total</t>
  </si>
  <si>
    <t>03-741-8654 Total</t>
  </si>
  <si>
    <t>63-291-3848 Total</t>
  </si>
  <si>
    <t>91-384-1442 Total</t>
  </si>
  <si>
    <t>17-159-8454 Total</t>
  </si>
  <si>
    <t>42-043-9587 Total</t>
  </si>
  <si>
    <t>90-516-6439 Total</t>
  </si>
  <si>
    <t>01-449-9365 Total</t>
  </si>
  <si>
    <t>78-580-3721 Total</t>
  </si>
  <si>
    <t>08-983-6666 Total</t>
  </si>
  <si>
    <t>24-761-0274 Total</t>
  </si>
  <si>
    <t>57-121-3042 Total</t>
  </si>
  <si>
    <t>22-312-9097 Total</t>
  </si>
  <si>
    <t>61-299-6275 Total</t>
  </si>
  <si>
    <t>76-915-7167 Total</t>
  </si>
  <si>
    <t>79-269-7927 Total</t>
  </si>
  <si>
    <t>05-956-4938 Total</t>
  </si>
  <si>
    <t>08-728-1975 Total</t>
  </si>
  <si>
    <t>34-624-4346 Total</t>
  </si>
  <si>
    <t>99-651-3487 Total</t>
  </si>
  <si>
    <t>58-114-5429 Total</t>
  </si>
  <si>
    <t>90-551-3913 Total</t>
  </si>
  <si>
    <t>32-799-4454 Total</t>
  </si>
  <si>
    <t>Kai Total</t>
  </si>
  <si>
    <t>Karia Total</t>
  </si>
  <si>
    <t>41-072-8678 Total</t>
  </si>
  <si>
    <t>Karlens Total</t>
  </si>
  <si>
    <t>06-618-2315 Total</t>
  </si>
  <si>
    <t>Karlotta Total</t>
  </si>
  <si>
    <t>Katee Total</t>
  </si>
  <si>
    <t>50-766-3234 Total</t>
  </si>
  <si>
    <t>41-453-0239 Total</t>
  </si>
  <si>
    <t>Kathryn Total</t>
  </si>
  <si>
    <t>70-301-7845 Total</t>
  </si>
  <si>
    <t>Katleen Total</t>
  </si>
  <si>
    <t>70-456-1983 Total</t>
  </si>
  <si>
    <t>Kelila Total</t>
  </si>
  <si>
    <t>Kelli Total</t>
  </si>
  <si>
    <t>50-721-2685 Total</t>
  </si>
  <si>
    <t>Kerrie Total</t>
  </si>
  <si>
    <t>72-706-5384 Total</t>
  </si>
  <si>
    <t>Kerry Total</t>
  </si>
  <si>
    <t>52-676-8915 Total</t>
  </si>
  <si>
    <t>Kimberly Total</t>
  </si>
  <si>
    <t>25-636-3694 Total</t>
  </si>
  <si>
    <t>Kimble Total</t>
  </si>
  <si>
    <t>86-546-2871 Total</t>
  </si>
  <si>
    <t>04-905-9245 Total</t>
  </si>
  <si>
    <t>Kira Total</t>
  </si>
  <si>
    <t>51-315-0017 Total</t>
  </si>
  <si>
    <t>Kirbee Total</t>
  </si>
  <si>
    <t>32-538-6413 Total</t>
  </si>
  <si>
    <t>Kitti Total</t>
  </si>
  <si>
    <t>66-576-5513 Total</t>
  </si>
  <si>
    <t>Koren Total</t>
  </si>
  <si>
    <t>71-140-1916 Total</t>
  </si>
  <si>
    <t>Koressa Total</t>
  </si>
  <si>
    <t>63-458-3132 Total</t>
  </si>
  <si>
    <t>Kriste Total</t>
  </si>
  <si>
    <t>93-104-4156 Total</t>
  </si>
  <si>
    <t>Kristen Total</t>
  </si>
  <si>
    <t>81-770-4721 Total</t>
  </si>
  <si>
    <t>Kristien Total</t>
  </si>
  <si>
    <t>41-193-4012 Total</t>
  </si>
  <si>
    <t>Kristo Total</t>
  </si>
  <si>
    <t>99-902-2083 Total</t>
  </si>
  <si>
    <t>Kyle Total</t>
  </si>
  <si>
    <t>15-155-9585 Total</t>
  </si>
  <si>
    <t>Lanita Total</t>
  </si>
  <si>
    <t>56-956-8489 Total</t>
  </si>
  <si>
    <t>Larina Total</t>
  </si>
  <si>
    <t>95-879-3876 Total</t>
  </si>
  <si>
    <t>Larine Total</t>
  </si>
  <si>
    <t>23-019-2473 Total</t>
  </si>
  <si>
    <t>Latisha Total</t>
  </si>
  <si>
    <t>17-277-5556 Total</t>
  </si>
  <si>
    <t>Laurena Total</t>
  </si>
  <si>
    <t>88-407-2614 Total</t>
  </si>
  <si>
    <t>Laurene Total</t>
  </si>
  <si>
    <t>35-326-5358 Total</t>
  </si>
  <si>
    <t>70-105-0204 Total</t>
  </si>
  <si>
    <t>98-615-2079 Total</t>
  </si>
  <si>
    <t>25-724-2004 Total</t>
  </si>
  <si>
    <t>63-689-9604 Total</t>
  </si>
  <si>
    <t>13-605-8213 Total</t>
  </si>
  <si>
    <t>35-423-1085 Total</t>
  </si>
  <si>
    <t>00-074-4197 Total</t>
  </si>
  <si>
    <t>71-876-2447 Total</t>
  </si>
  <si>
    <t>54-962-5694 Total</t>
  </si>
  <si>
    <t>29-284-8019 Total</t>
  </si>
  <si>
    <t>79-219-0964 Total</t>
  </si>
  <si>
    <t>54-434-6227 Total</t>
  </si>
  <si>
    <t>21-076-9931 Total</t>
  </si>
  <si>
    <t>38-225-6551 Total</t>
  </si>
  <si>
    <t>42-035-5722 Total</t>
  </si>
  <si>
    <t>96-630-7878 Total</t>
  </si>
  <si>
    <t>05-336-9866 Total</t>
  </si>
  <si>
    <t>73-759-7874 Total</t>
  </si>
  <si>
    <t>64-040-7846 Total</t>
  </si>
  <si>
    <t>28-258-6443 Total</t>
  </si>
  <si>
    <t>00-297-6102 Total</t>
  </si>
  <si>
    <t>25-544-3759 Total</t>
  </si>
  <si>
    <t>99-480-2711 Total</t>
  </si>
  <si>
    <t>07-623-5132 Total</t>
  </si>
  <si>
    <t>96-579-2883 Total</t>
  </si>
  <si>
    <t>14-882-0051 Total</t>
  </si>
  <si>
    <t>54-074-3348 Total</t>
  </si>
  <si>
    <t>66-925-4811 Total</t>
  </si>
  <si>
    <t>45-915-8159 Total</t>
  </si>
  <si>
    <t>88-669-1075 Total</t>
  </si>
  <si>
    <t>51-726-9981 Total</t>
  </si>
  <si>
    <t>40-322-7634 Total</t>
  </si>
  <si>
    <t>59-847-3505 Total</t>
  </si>
  <si>
    <t>67-871-5815 Total</t>
  </si>
  <si>
    <t>42-266-7417 Total</t>
  </si>
  <si>
    <t>87-109-2733 Total</t>
  </si>
  <si>
    <t>14-235-5840 Total</t>
  </si>
  <si>
    <t>Lee Total</t>
  </si>
  <si>
    <t>Leone Total</t>
  </si>
  <si>
    <t>60-683-2431 Total</t>
  </si>
  <si>
    <t>Les Total</t>
  </si>
  <si>
    <t>82-523-1731 Total</t>
  </si>
  <si>
    <t>Leslie Total</t>
  </si>
  <si>
    <t>28-796-4096 Total</t>
  </si>
  <si>
    <t>Lesya Total</t>
  </si>
  <si>
    <t>77-456-4340 Total</t>
  </si>
  <si>
    <t>Lev Total</t>
  </si>
  <si>
    <t>03-533-9483 Total</t>
  </si>
  <si>
    <t>Levy Total</t>
  </si>
  <si>
    <t>90-311-5709 Total</t>
  </si>
  <si>
    <t>Lib Total</t>
  </si>
  <si>
    <t>Liesa Total</t>
  </si>
  <si>
    <t>16-502-4612 Total</t>
  </si>
  <si>
    <t>Lilllie Total</t>
  </si>
  <si>
    <t>55-984-0798 Total</t>
  </si>
  <si>
    <t>Lindsy Total</t>
  </si>
  <si>
    <t>38-606-8991 Total</t>
  </si>
  <si>
    <t>Link Total</t>
  </si>
  <si>
    <t>91-851-0404 Total</t>
  </si>
  <si>
    <t>Lisetta Total</t>
  </si>
  <si>
    <t>34-269-6278 Total</t>
  </si>
  <si>
    <t>Liuka Total</t>
  </si>
  <si>
    <t>59-783-9173 Total</t>
  </si>
  <si>
    <t>Lizabeth Total</t>
  </si>
  <si>
    <t>67-413-9095 Total</t>
  </si>
  <si>
    <t>Llewellyn Total</t>
  </si>
  <si>
    <t>37-060-6167 Total</t>
  </si>
  <si>
    <t>Llywellyn Total</t>
  </si>
  <si>
    <t>42-084-1470 Total</t>
  </si>
  <si>
    <t>Lodovico Total</t>
  </si>
  <si>
    <t>21-008-1609 Total</t>
  </si>
  <si>
    <t>Lona Total</t>
  </si>
  <si>
    <t>23-020-4703 Total</t>
  </si>
  <si>
    <t>Lorelle Total</t>
  </si>
  <si>
    <t>32-179-6401 Total</t>
  </si>
  <si>
    <t>76-982-1091 Total</t>
  </si>
  <si>
    <t>Loren Total</t>
  </si>
  <si>
    <t>28-204-7348 Total</t>
  </si>
  <si>
    <t>Lorianna Total</t>
  </si>
  <si>
    <t>38-531-4328 Total</t>
  </si>
  <si>
    <t>Lorrie Total</t>
  </si>
  <si>
    <t>56-985-3679 Total</t>
  </si>
  <si>
    <t>Loy Total</t>
  </si>
  <si>
    <t>27-029-8925 Total</t>
  </si>
  <si>
    <t>Lucian Total</t>
  </si>
  <si>
    <t>Lucine Total</t>
  </si>
  <si>
    <t>33-400-8089 Total</t>
  </si>
  <si>
    <t>Lucio Total</t>
  </si>
  <si>
    <t>59-776-0727 Total</t>
  </si>
  <si>
    <t>Lulu Total</t>
  </si>
  <si>
    <t>16-604-1716 Total</t>
  </si>
  <si>
    <t>Luz Total</t>
  </si>
  <si>
    <t>61-913-0066 Total</t>
  </si>
  <si>
    <t>Lyndell Total</t>
  </si>
  <si>
    <t>58-756-5695 Total</t>
  </si>
  <si>
    <t>Lynsey Total</t>
  </si>
  <si>
    <t>10-348-6678 Total</t>
  </si>
  <si>
    <t>Magnum Total</t>
  </si>
  <si>
    <t>15-351-6857 Total</t>
  </si>
  <si>
    <t>Marcella Total</t>
  </si>
  <si>
    <t>51-099-5307 Total</t>
  </si>
  <si>
    <t>Margit Total</t>
  </si>
  <si>
    <t>Margo Total</t>
  </si>
  <si>
    <t>43-148-6149 Total</t>
  </si>
  <si>
    <t>Mariejeanne Total</t>
  </si>
  <si>
    <t>31-479-5718 Total</t>
  </si>
  <si>
    <t>Mariette Total</t>
  </si>
  <si>
    <t>84-669-5332 Total</t>
  </si>
  <si>
    <t>Marsha Total</t>
  </si>
  <si>
    <t>53-755-7907 Total</t>
  </si>
  <si>
    <t>Marty Total</t>
  </si>
  <si>
    <t>47-136-7638 Total</t>
  </si>
  <si>
    <t>Maryjo Total</t>
  </si>
  <si>
    <t>62-239-8222 Total</t>
  </si>
  <si>
    <t>Marylou Total</t>
  </si>
  <si>
    <t>Mathilda Total</t>
  </si>
  <si>
    <t>42-045-4165 Total</t>
  </si>
  <si>
    <t>Maurie Total</t>
  </si>
  <si>
    <t>76-159-1914 Total</t>
  </si>
  <si>
    <t>Mavis Total</t>
  </si>
  <si>
    <t>35-565-4889 Total</t>
  </si>
  <si>
    <t>Maxim Total</t>
  </si>
  <si>
    <t>67-319-3390 Total</t>
  </si>
  <si>
    <t>Merci Total</t>
  </si>
  <si>
    <t>96-780-3940 Total</t>
  </si>
  <si>
    <t>Meredeth Total</t>
  </si>
  <si>
    <t>94-955-0677 Total</t>
  </si>
  <si>
    <t>Merridie Total</t>
  </si>
  <si>
    <t>86-201-5043 Total</t>
  </si>
  <si>
    <t>Merrielle Total</t>
  </si>
  <si>
    <t>Mickie Total</t>
  </si>
  <si>
    <t>81-099-5403 Total</t>
  </si>
  <si>
    <t>Millard Total</t>
  </si>
  <si>
    <t>Milton Total</t>
  </si>
  <si>
    <t>98-775-7591 Total</t>
  </si>
  <si>
    <t>Miranda Total</t>
  </si>
  <si>
    <t>51-800-6147 Total</t>
  </si>
  <si>
    <t>Moll Total</t>
  </si>
  <si>
    <t>49-217-1185 Total</t>
  </si>
  <si>
    <t>Moritz Total</t>
  </si>
  <si>
    <t>56-614-3822 Total</t>
  </si>
  <si>
    <t>Murielle Total</t>
  </si>
  <si>
    <t>77-859-0914 Total</t>
  </si>
  <si>
    <t>Nanni Total</t>
  </si>
  <si>
    <t>08-917-0603 Total</t>
  </si>
  <si>
    <t>Nathanial Total</t>
  </si>
  <si>
    <t>79-539-9292 Total</t>
  </si>
  <si>
    <t>Neale Total</t>
  </si>
  <si>
    <t>27-086-2133 Total</t>
  </si>
  <si>
    <t>Nealy Total</t>
  </si>
  <si>
    <t>13-570-4473 Total</t>
  </si>
  <si>
    <t>Nerita Total</t>
  </si>
  <si>
    <t>80-342-0647 Total</t>
  </si>
  <si>
    <t>Neron Total</t>
  </si>
  <si>
    <t>64-454-5746 Total</t>
  </si>
  <si>
    <t>Nerti Total</t>
  </si>
  <si>
    <t>16-813-8425 Total</t>
  </si>
  <si>
    <t>Nickola Total</t>
  </si>
  <si>
    <t>70-887-0829 Total</t>
  </si>
  <si>
    <t>Nickolaus Total</t>
  </si>
  <si>
    <t>06-259-7944 Total</t>
  </si>
  <si>
    <t>Nicola Total</t>
  </si>
  <si>
    <t>63-764-7459 Total</t>
  </si>
  <si>
    <t>Nita Total</t>
  </si>
  <si>
    <t>36-920-4343 Total</t>
  </si>
  <si>
    <t>Noach Total</t>
  </si>
  <si>
    <t>47-727-0442 Total</t>
  </si>
  <si>
    <t>Noel Total</t>
  </si>
  <si>
    <t>16-214-2773 Total</t>
  </si>
  <si>
    <t>Oberon Total</t>
  </si>
  <si>
    <t>56-646-6436 Total</t>
  </si>
  <si>
    <t>Odele Total</t>
  </si>
  <si>
    <t>46-668-9529 Total</t>
  </si>
  <si>
    <t>Olenka Total</t>
  </si>
  <si>
    <t>02-400-1412 Total</t>
  </si>
  <si>
    <t>Olympe Total</t>
  </si>
  <si>
    <t>50-075-6130 Total</t>
  </si>
  <si>
    <t>59-538-4935 Total</t>
  </si>
  <si>
    <t>40-194-4734 Total</t>
  </si>
  <si>
    <t>10-651-6055 Total</t>
  </si>
  <si>
    <t>54-382-6794 Total</t>
  </si>
  <si>
    <t>32-879-8419 Total</t>
  </si>
  <si>
    <t>92-564-6986 Total</t>
  </si>
  <si>
    <t>44-362-6404 Total</t>
  </si>
  <si>
    <t>25-234-7971 Total</t>
  </si>
  <si>
    <t>28-068-8871 Total</t>
  </si>
  <si>
    <t>78-756-0349 Total</t>
  </si>
  <si>
    <t>13-522-0664 Total</t>
  </si>
  <si>
    <t>32-305-1210 Total</t>
  </si>
  <si>
    <t>27-360-9341 Total</t>
  </si>
  <si>
    <t>23-174-1056 Total</t>
  </si>
  <si>
    <t>94-317-6270 Total</t>
  </si>
  <si>
    <t>94-991-7696 Total</t>
  </si>
  <si>
    <t>35-123-2802 Total</t>
  </si>
  <si>
    <t>54-882-1330 Total</t>
  </si>
  <si>
    <t>66-887-4795 Total</t>
  </si>
  <si>
    <t>16-576-0745 Total</t>
  </si>
  <si>
    <t>59-165-6606 Total</t>
  </si>
  <si>
    <t>12-525-0225 Total</t>
  </si>
  <si>
    <t>44-889-3528 Total</t>
  </si>
  <si>
    <t>72-067-3864 Total</t>
  </si>
  <si>
    <t>84-326-3520 Total</t>
  </si>
  <si>
    <t>14-353-5330 Total</t>
  </si>
  <si>
    <t>46-391-9860 Total</t>
  </si>
  <si>
    <t>54-848-1548 Total</t>
  </si>
  <si>
    <t>Omotayo Total</t>
  </si>
  <si>
    <t>37-667-2928 Total</t>
  </si>
  <si>
    <t>Orton Total</t>
  </si>
  <si>
    <t>60-818-9629 Total</t>
  </si>
  <si>
    <t>Osbert Total</t>
  </si>
  <si>
    <t>57-928-0762 Total</t>
  </si>
  <si>
    <t>Pablo Total</t>
  </si>
  <si>
    <t>72-283-5858 Total</t>
  </si>
  <si>
    <t>Paddy Total</t>
  </si>
  <si>
    <t>99-859-5059 Total</t>
  </si>
  <si>
    <t>Palm Total</t>
  </si>
  <si>
    <t>97-343-5440 Total</t>
  </si>
  <si>
    <t>Parrnell Total</t>
  </si>
  <si>
    <t>38-773-9466 Total</t>
  </si>
  <si>
    <t>Pattie Total</t>
  </si>
  <si>
    <t>61-072-5774 Total</t>
  </si>
  <si>
    <t>Pearla Total</t>
  </si>
  <si>
    <t>01-479-5335 Total</t>
  </si>
  <si>
    <t>Peder Total</t>
  </si>
  <si>
    <t>94-820-2455 Total</t>
  </si>
  <si>
    <t>Pen Total</t>
  </si>
  <si>
    <t>Penelope Total</t>
  </si>
  <si>
    <t>59-708-0737 Total</t>
  </si>
  <si>
    <t>Penni Total</t>
  </si>
  <si>
    <t>Pennie Total</t>
  </si>
  <si>
    <t>14-646-5160 Total</t>
  </si>
  <si>
    <t>Penny Total</t>
  </si>
  <si>
    <t>94-116-6634 Total</t>
  </si>
  <si>
    <t>Pepita Total</t>
  </si>
  <si>
    <t>31-591-2757 Total</t>
  </si>
  <si>
    <t>Perle Total</t>
  </si>
  <si>
    <t>79-091-9451 Total</t>
  </si>
  <si>
    <t>Petr Total</t>
  </si>
  <si>
    <t>06-027-9224 Total</t>
  </si>
  <si>
    <t>Peyter Total</t>
  </si>
  <si>
    <t>Peyton Total</t>
  </si>
  <si>
    <t>46-824-4524 Total</t>
  </si>
  <si>
    <t>Phaedra Total</t>
  </si>
  <si>
    <t>25-931-1872 Total</t>
  </si>
  <si>
    <t>Philippine Total</t>
  </si>
  <si>
    <t>59-320-4510 Total</t>
  </si>
  <si>
    <t>Piper Total</t>
  </si>
  <si>
    <t>13-465-6269 Total</t>
  </si>
  <si>
    <t>Powell Total</t>
  </si>
  <si>
    <t>78-578-7813 Total</t>
  </si>
  <si>
    <t>Prudence Total</t>
  </si>
  <si>
    <t>12-158-9173 Total</t>
  </si>
  <si>
    <t>Pyotr Total</t>
  </si>
  <si>
    <t>05-330-1269 Total</t>
  </si>
  <si>
    <t>Rafaellle Total</t>
  </si>
  <si>
    <t>96-505-9442 Total</t>
  </si>
  <si>
    <t>Rakel Total</t>
  </si>
  <si>
    <t>66-077-8609 Total</t>
  </si>
  <si>
    <t>Ralph Total</t>
  </si>
  <si>
    <t>64-235-4200 Total</t>
  </si>
  <si>
    <t>Rees Total</t>
  </si>
  <si>
    <t>04-797-8743 Total</t>
  </si>
  <si>
    <t>Reeva Total</t>
  </si>
  <si>
    <t>75-733-7370 Total</t>
  </si>
  <si>
    <t>Reiko Total</t>
  </si>
  <si>
    <t>23-781-8588 Total</t>
  </si>
  <si>
    <t>Rice Total</t>
  </si>
  <si>
    <t>61-848-9702 Total</t>
  </si>
  <si>
    <t>Rici Total</t>
  </si>
  <si>
    <t>50-098-9927 Total</t>
  </si>
  <si>
    <t>Rickey Total</t>
  </si>
  <si>
    <t>92-811-7480 Total</t>
  </si>
  <si>
    <t>Robinette Total</t>
  </si>
  <si>
    <t>00-849-1643 Total</t>
  </si>
  <si>
    <t>Rochell Total</t>
  </si>
  <si>
    <t>47-895-6897 Total</t>
  </si>
  <si>
    <t>Roddy Total</t>
  </si>
  <si>
    <t>68-284-4309 Total</t>
  </si>
  <si>
    <t>Roley Total</t>
  </si>
  <si>
    <t>06-765-8370 Total</t>
  </si>
  <si>
    <t>Rollie Total</t>
  </si>
  <si>
    <t>87-569-2953 Total</t>
  </si>
  <si>
    <t>Ronna Total</t>
  </si>
  <si>
    <t>89-597-6072 Total</t>
  </si>
  <si>
    <t>Rooney Total</t>
  </si>
  <si>
    <t>08-976-0687 Total</t>
  </si>
  <si>
    <t>Roosevelt Total</t>
  </si>
  <si>
    <t>00-757-8976 Total</t>
  </si>
  <si>
    <t>Rosalyn Total</t>
  </si>
  <si>
    <t>18-014-9644 Total</t>
  </si>
  <si>
    <t>Roseanne Total</t>
  </si>
  <si>
    <t>34-774-6017 Total</t>
  </si>
  <si>
    <t>Royall Total</t>
  </si>
  <si>
    <t>40-773-6278 Total</t>
  </si>
  <si>
    <t>Rubetta Total</t>
  </si>
  <si>
    <t>18-577-3035 Total</t>
  </si>
  <si>
    <t>Rudolf Total</t>
  </si>
  <si>
    <t>45-461-0835 Total</t>
  </si>
  <si>
    <t>Rufe Total</t>
  </si>
  <si>
    <t>60-551-0739 Total</t>
  </si>
  <si>
    <t>Sabrina Total</t>
  </si>
  <si>
    <t>16-276-0363 Total</t>
  </si>
  <si>
    <t>Sadella Total</t>
  </si>
  <si>
    <t>02-221-3535 Total</t>
  </si>
  <si>
    <t>Salmon Total</t>
  </si>
  <si>
    <t>22-838-4130 Total</t>
  </si>
  <si>
    <t>Salomi Total</t>
  </si>
  <si>
    <t>82-985-0060 Total</t>
  </si>
  <si>
    <t>Sampson Total</t>
  </si>
  <si>
    <t>05-885-2636 Total</t>
  </si>
  <si>
    <t>Sandy Total</t>
  </si>
  <si>
    <t>Selma Total</t>
  </si>
  <si>
    <t>83-251-1212 Total</t>
  </si>
  <si>
    <t>Shalom Total</t>
  </si>
  <si>
    <t>84-119-5925 Total</t>
  </si>
  <si>
    <t>Shanon Total</t>
  </si>
  <si>
    <t>72-263-9293 Total</t>
  </si>
  <si>
    <t>Sherwynd Total</t>
  </si>
  <si>
    <t>Sid Total</t>
  </si>
  <si>
    <t>94-651-0946 Total</t>
  </si>
  <si>
    <t>Sigismond Total</t>
  </si>
  <si>
    <t>18-615-0842 Total</t>
  </si>
  <si>
    <t>Siusan Total</t>
  </si>
  <si>
    <t>91-516-0670 Total</t>
  </si>
  <si>
    <t>Sky Total</t>
  </si>
  <si>
    <t>25-701-8249 Total</t>
  </si>
  <si>
    <t>Sorcha Total</t>
  </si>
  <si>
    <t>43-348-7269 Total</t>
  </si>
  <si>
    <t>Stacy Total</t>
  </si>
  <si>
    <t>88-546-7610 Total</t>
  </si>
  <si>
    <t>Steffane Total</t>
  </si>
  <si>
    <t>58-730-0744 Total</t>
  </si>
  <si>
    <t>Steffen Total</t>
  </si>
  <si>
    <t>43-808-8401 Total</t>
  </si>
  <si>
    <t>Steffie Total</t>
  </si>
  <si>
    <t>07-715-0138 Total</t>
  </si>
  <si>
    <t>Stephine Total</t>
  </si>
  <si>
    <t>67-228-8769 Total</t>
  </si>
  <si>
    <t>Susie Total</t>
  </si>
  <si>
    <t>83-787-5961 Total</t>
  </si>
  <si>
    <t>Sydney Total</t>
  </si>
  <si>
    <t>16-998-9872 Total</t>
  </si>
  <si>
    <t>Tabbie Total</t>
  </si>
  <si>
    <t>28-416-7803 Total</t>
  </si>
  <si>
    <t>Tabby Total</t>
  </si>
  <si>
    <t>96-729-6410 Total</t>
  </si>
  <si>
    <t>Tarah Total</t>
  </si>
  <si>
    <t>06-363-9708 Total</t>
  </si>
  <si>
    <t>Teddy Total</t>
  </si>
  <si>
    <t>46-412-1416 Total</t>
  </si>
  <si>
    <t>11-234-8294 Total</t>
  </si>
  <si>
    <t>73-444-5045 Total</t>
  </si>
  <si>
    <t>58-550-9347 Total</t>
  </si>
  <si>
    <t>29-951-7706 Total</t>
  </si>
  <si>
    <t>61-119-8876 Total</t>
  </si>
  <si>
    <t>48-753-0384 Total</t>
  </si>
  <si>
    <t>83-786-2666 Total</t>
  </si>
  <si>
    <t>35-136-1585 Total</t>
  </si>
  <si>
    <t>70-224-2181 Total</t>
  </si>
  <si>
    <t>96-574-0317 Total</t>
  </si>
  <si>
    <t>48-144-1450 Total</t>
  </si>
  <si>
    <t>80-621-5223 Total</t>
  </si>
  <si>
    <t>84-340-5716 Total</t>
  </si>
  <si>
    <t>01-228-0472 Total</t>
  </si>
  <si>
    <t>86-566-2633 Total</t>
  </si>
  <si>
    <t>48-034-7345 Total</t>
  </si>
  <si>
    <t>90-028-1681 Total</t>
  </si>
  <si>
    <t>47-654-0521 Total</t>
  </si>
  <si>
    <t>61-304-5364 Total</t>
  </si>
  <si>
    <t>87-198-2516 Total</t>
  </si>
  <si>
    <t>61-884-1362 Total</t>
  </si>
  <si>
    <t>32-956-5401 Total</t>
  </si>
  <si>
    <t>40-356-6825 Total</t>
  </si>
  <si>
    <t>03-709-7480 Total</t>
  </si>
  <si>
    <t>68-019-5815 Total</t>
  </si>
  <si>
    <t>89-792-4293 Total</t>
  </si>
  <si>
    <t>80-432-2845 Total</t>
  </si>
  <si>
    <t>19-250-6770 Total</t>
  </si>
  <si>
    <t>Teo Total</t>
  </si>
  <si>
    <t>58-393-2359 Total</t>
  </si>
  <si>
    <t>Tera Total</t>
  </si>
  <si>
    <t>26-293-9341 Total</t>
  </si>
  <si>
    <t>Terese Total</t>
  </si>
  <si>
    <t>29-336-4388 Total</t>
  </si>
  <si>
    <t>Terrance Total</t>
  </si>
  <si>
    <t>66-680-3383 Total</t>
  </si>
  <si>
    <t>Tersina Total</t>
  </si>
  <si>
    <t>80-479-4675 Total</t>
  </si>
  <si>
    <t>Thaddeus Total</t>
  </si>
  <si>
    <t>41-379-6432 Total</t>
  </si>
  <si>
    <t>Theo Total</t>
  </si>
  <si>
    <t>45-261-1686 Total</t>
  </si>
  <si>
    <t>Thorvald Total</t>
  </si>
  <si>
    <t>13-540-4738 Total</t>
  </si>
  <si>
    <t>Tildie Total</t>
  </si>
  <si>
    <t>47-297-9586 Total</t>
  </si>
  <si>
    <t>Timmy Total</t>
  </si>
  <si>
    <t>Tina Total</t>
  </si>
  <si>
    <t>56-430-8928 Total</t>
  </si>
  <si>
    <t>Tobit Total</t>
  </si>
  <si>
    <t>85-838-9251 Total</t>
  </si>
  <si>
    <t>Tommie Total</t>
  </si>
  <si>
    <t>57-194-4398 Total</t>
  </si>
  <si>
    <t>31-948-6519 Total</t>
  </si>
  <si>
    <t>00-565-1917 Total</t>
  </si>
  <si>
    <t>02-898-8943 Total</t>
  </si>
  <si>
    <t>28-918-8049 Total</t>
  </si>
  <si>
    <t>52-035-5780 Total</t>
  </si>
  <si>
    <t>21-045-3413 Total</t>
  </si>
  <si>
    <t>56-323-8810 Total</t>
  </si>
  <si>
    <t>21-805-6465 Total</t>
  </si>
  <si>
    <t>16-672-3886 Total</t>
  </si>
  <si>
    <t>78-402-6421 Total</t>
  </si>
  <si>
    <t>05-718-5877 Total</t>
  </si>
  <si>
    <t>85-299-4606 Total</t>
  </si>
  <si>
    <t>95-206-7016 Total</t>
  </si>
  <si>
    <t>39-427-3031 Total</t>
  </si>
  <si>
    <t>95-136-1451 Total</t>
  </si>
  <si>
    <t>73-786-3979 Total</t>
  </si>
  <si>
    <t>32-262-2812 Total</t>
  </si>
  <si>
    <t>52-293-2276 Total</t>
  </si>
  <si>
    <t>53-693-2204 Total</t>
  </si>
  <si>
    <t>06-402-2900 Total</t>
  </si>
  <si>
    <t>89-797-8152 Total</t>
  </si>
  <si>
    <t>45-527-5505 Total</t>
  </si>
  <si>
    <t>77-901-6799 Total</t>
  </si>
  <si>
    <t>91-118-5974 Total</t>
  </si>
  <si>
    <t>43-632-0209 Total</t>
  </si>
  <si>
    <t>67-251-5997 Total</t>
  </si>
  <si>
    <t>51-787-6676 Total</t>
  </si>
  <si>
    <t>53-301-7273 Total</t>
  </si>
  <si>
    <t>58-341-0813 Total</t>
  </si>
  <si>
    <t>07-949-7452 Total</t>
  </si>
  <si>
    <t>15-903-1893 Total</t>
  </si>
  <si>
    <t>58-776-4490 Total</t>
  </si>
  <si>
    <t>18-004-2574 Total</t>
  </si>
  <si>
    <t>84-093-9200 Total</t>
  </si>
  <si>
    <t>22-870-8827 Total</t>
  </si>
  <si>
    <t>15-800-0427 Total</t>
  </si>
  <si>
    <t>48-108-1718 Total</t>
  </si>
  <si>
    <t>Toprak Total</t>
  </si>
  <si>
    <t>11-368-8486 Total</t>
  </si>
  <si>
    <t>Tresa Total</t>
  </si>
  <si>
    <t>04-893-9610 Total</t>
  </si>
  <si>
    <t>Truda Total</t>
  </si>
  <si>
    <t>Ty Total</t>
  </si>
  <si>
    <t>51-099-9634 Total</t>
  </si>
  <si>
    <t>Tybalt Total</t>
  </si>
  <si>
    <t>73-998-5320 Total</t>
  </si>
  <si>
    <t>Tymothy Total</t>
  </si>
  <si>
    <t>68-975-2823 Total</t>
  </si>
  <si>
    <t>Tyrone Total</t>
  </si>
  <si>
    <t>02-427-7313 Total</t>
  </si>
  <si>
    <t>Udell Total</t>
  </si>
  <si>
    <t>18-784-9545 Total</t>
  </si>
  <si>
    <t>Ulric Total</t>
  </si>
  <si>
    <t>63-955-5053 Total</t>
  </si>
  <si>
    <t>Uri Total</t>
  </si>
  <si>
    <t>78-122-7663 Total</t>
  </si>
  <si>
    <t>Ursulina Total</t>
  </si>
  <si>
    <t>11-829-9210 Total</t>
  </si>
  <si>
    <t>Valaria Total</t>
  </si>
  <si>
    <t>27-962-2563 Total</t>
  </si>
  <si>
    <t>Vanessa Total</t>
  </si>
  <si>
    <t>46-715-7510 Total</t>
  </si>
  <si>
    <t>Venus Total</t>
  </si>
  <si>
    <t>59-985-2075 Total</t>
  </si>
  <si>
    <t>95-844-2667 Total</t>
  </si>
  <si>
    <t>Vernor Total</t>
  </si>
  <si>
    <t>Vevay Total</t>
  </si>
  <si>
    <t>54-301-2403 Total</t>
  </si>
  <si>
    <t>Vicki Total</t>
  </si>
  <si>
    <t>47-640-5811 Total</t>
  </si>
  <si>
    <t>Victoir Total</t>
  </si>
  <si>
    <t>23-924-1465 Total</t>
  </si>
  <si>
    <t>Vina Total</t>
  </si>
  <si>
    <t>27-788-2082 Total</t>
  </si>
  <si>
    <t>Violet Total</t>
  </si>
  <si>
    <t>59-988-0619 Total</t>
  </si>
  <si>
    <t>Walt Total</t>
  </si>
  <si>
    <t>27-822-3757 Total</t>
  </si>
  <si>
    <t>Waverley Total</t>
  </si>
  <si>
    <t>60-913-6927 Total</t>
  </si>
  <si>
    <t>Web Total</t>
  </si>
  <si>
    <t>34-349-3968 Total</t>
  </si>
  <si>
    <t>Wenonah Total</t>
  </si>
  <si>
    <t>14-118-0430 Total</t>
  </si>
  <si>
    <t>Westleigh Total</t>
  </si>
  <si>
    <t>34-704-1464 Total</t>
  </si>
  <si>
    <t>Willamina Total</t>
  </si>
  <si>
    <t>97-686-1452 Total</t>
  </si>
  <si>
    <t>Wilmer Total</t>
  </si>
  <si>
    <t>31-742-4336 Total</t>
  </si>
  <si>
    <t>11-933-7311 Total</t>
  </si>
  <si>
    <t>Wilmette Total</t>
  </si>
  <si>
    <t>64-751-4443 Total</t>
  </si>
  <si>
    <t>32-762-2285 Total</t>
  </si>
  <si>
    <t>Wyn Total</t>
  </si>
  <si>
    <t>01-005-6817 Total</t>
  </si>
  <si>
    <t>Wynnie Total</t>
  </si>
  <si>
    <t>98-989-6316 Total</t>
  </si>
  <si>
    <t>Xylia Total</t>
  </si>
  <si>
    <t>63-623-0888 Total</t>
  </si>
  <si>
    <t>Yolane Total</t>
  </si>
  <si>
    <t>92-863-5825 Total</t>
  </si>
  <si>
    <t>Yolanthe Total</t>
  </si>
  <si>
    <t>25-810-8761 Total</t>
  </si>
  <si>
    <t>Yorker Total</t>
  </si>
  <si>
    <t>39-945-5303 Total</t>
  </si>
  <si>
    <t>Yulma Total</t>
  </si>
  <si>
    <t>85-058-7201 Total</t>
  </si>
  <si>
    <t>Zacharia Total</t>
  </si>
  <si>
    <t>04-180-9453 Total</t>
  </si>
  <si>
    <t>Zeb Total</t>
  </si>
  <si>
    <t>20-555-1435 Total</t>
  </si>
  <si>
    <t>Zilvia Total</t>
  </si>
  <si>
    <t>Grand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</si>
</sst>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d/yyyy h:mm:ss"/>
  </numFmts>
  <fonts count="21">
    <font>
      <sz val="10.0"/>
      <color rgb="FF000000"/>
      <name val="Georgia"/>
      <scheme val="minor"/>
    </font>
    <font>
      <color theme="1"/>
      <name val="Arial"/>
    </font>
    <font>
      <b/>
      <sz val="17.0"/>
      <color rgb="FFFFFFFF"/>
      <name val="&quot;Open Sans&quot;"/>
    </font>
    <font>
      <b/>
      <sz val="14.0"/>
      <color rgb="FFFFFFFF"/>
      <name val="&quot;Open Sans&quot;"/>
    </font>
    <font>
      <b/>
      <color rgb="FFFFFFFF"/>
      <name val="&quot;Open Sans&quot;"/>
    </font>
    <font/>
    <font>
      <b/>
      <sz val="9.0"/>
      <color rgb="FF242424"/>
      <name val="&quot;Open Sans&quot;"/>
    </font>
    <font>
      <i/>
      <sz val="11.0"/>
      <color theme="1"/>
      <name val="Calibri"/>
    </font>
    <font>
      <b/>
      <color rgb="FF242424"/>
      <name val="&quot;Open Sans&quot;"/>
    </font>
    <font>
      <color rgb="FF242424"/>
      <name val="&quot;Open Sans&quot;"/>
    </font>
    <font>
      <sz val="11.0"/>
      <color rgb="FF242424"/>
      <name val="Calibri"/>
    </font>
    <font>
      <color rgb="FF242424"/>
      <name val="Arial"/>
    </font>
    <font>
      <color theme="1"/>
      <name val="Georgia"/>
      <scheme val="minor"/>
    </font>
    <font>
      <b/>
      <sz val="11.0"/>
      <color rgb="FFFFFFFF"/>
      <name val="Lato"/>
    </font>
    <font>
      <u/>
      <color rgb="FF242424"/>
      <name val="&quot;Open Sans&quot;"/>
    </font>
    <font>
      <color rgb="FF434343"/>
      <name val="Open Sans"/>
    </font>
    <font>
      <b/>
      <sz val="11.0"/>
      <color rgb="FF242424"/>
      <name val="Calibri"/>
    </font>
    <font>
      <b/>
      <sz val="14.0"/>
      <color rgb="FFFFFFFF"/>
      <name val="Open Sans"/>
    </font>
    <font>
      <b/>
      <color rgb="FF242424"/>
      <name val="Open Sans"/>
    </font>
    <font>
      <color rgb="FF242424"/>
      <name val="Open Sans"/>
    </font>
    <font>
      <b/>
      <sz val="13.0"/>
      <color theme="1"/>
      <name val="Georgia"/>
      <scheme val="minor"/>
    </font>
  </fonts>
  <fills count="8">
    <fill>
      <patternFill patternType="none"/>
    </fill>
    <fill>
      <patternFill patternType="lightGray"/>
    </fill>
    <fill>
      <patternFill patternType="solid">
        <fgColor rgb="FFFFF5ED"/>
        <bgColor rgb="FFFFF5ED"/>
      </patternFill>
    </fill>
    <fill>
      <patternFill patternType="solid">
        <fgColor rgb="FF242424"/>
        <bgColor rgb="FF242424"/>
      </patternFill>
    </fill>
    <fill>
      <patternFill patternType="solid">
        <fgColor rgb="FF434343"/>
        <bgColor rgb="FF434343"/>
      </patternFill>
    </fill>
    <fill>
      <patternFill patternType="solid">
        <fgColor rgb="FFE9E9E9"/>
        <bgColor rgb="FFE9E9E9"/>
      </patternFill>
    </fill>
    <fill>
      <patternFill patternType="solid">
        <fgColor rgb="FFE2F4B3"/>
        <bgColor rgb="FFE2F4B3"/>
      </patternFill>
    </fill>
    <fill>
      <patternFill patternType="solid">
        <fgColor rgb="FFCC0000"/>
        <bgColor rgb="FFCC0000"/>
      </patternFill>
    </fill>
  </fills>
  <borders count="15">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3" fontId="2" numFmtId="0" xfId="0" applyAlignment="1" applyFill="1" applyFont="1">
      <alignment horizontal="center" vertical="center"/>
    </xf>
    <xf borderId="0" fillId="3" fontId="3" numFmtId="0" xfId="0" applyAlignment="1" applyFont="1">
      <alignment horizontal="center"/>
    </xf>
    <xf borderId="0" fillId="0" fontId="1" numFmtId="0" xfId="0" applyAlignment="1" applyFont="1">
      <alignment vertical="bottom"/>
    </xf>
    <xf borderId="2" fillId="4" fontId="4"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1" fillId="2" fontId="6" numFmtId="0" xfId="0" applyAlignment="1" applyBorder="1" applyFont="1">
      <alignment readingOrder="0" shrinkToFit="0" vertical="top" wrapText="1"/>
    </xf>
    <xf borderId="5" fillId="5" fontId="7" numFmtId="0" xfId="0" applyAlignment="1" applyBorder="1" applyFill="1" applyFont="1">
      <alignment horizontal="center" shrinkToFit="0" wrapText="1"/>
    </xf>
    <xf borderId="5" fillId="0" fontId="5" numFmtId="0" xfId="0" applyBorder="1" applyFont="1"/>
    <xf borderId="0" fillId="0" fontId="7" numFmtId="0" xfId="0" applyAlignment="1" applyFont="1">
      <alignment horizontal="center" shrinkToFit="0" wrapText="1"/>
    </xf>
    <xf borderId="6" fillId="5" fontId="8" numFmtId="0" xfId="0" applyAlignment="1" applyBorder="1" applyFont="1">
      <alignment horizontal="center" readingOrder="0" shrinkToFit="0" vertical="center" wrapText="1"/>
    </xf>
    <xf borderId="6" fillId="5" fontId="8" numFmtId="0" xfId="0" applyAlignment="1" applyBorder="1" applyFont="1">
      <alignment horizontal="center" shrinkToFit="0" vertical="center" wrapText="1"/>
    </xf>
    <xf borderId="1" fillId="0" fontId="5" numFmtId="0" xfId="0" applyBorder="1" applyFont="1"/>
    <xf borderId="4" fillId="0" fontId="9" numFmtId="0" xfId="0" applyAlignment="1" applyBorder="1" applyFont="1">
      <alignment horizontal="center" readingOrder="0" vertical="center"/>
    </xf>
    <xf borderId="3" fillId="0" fontId="9" numFmtId="0" xfId="0" applyAlignment="1" applyBorder="1" applyFont="1">
      <alignment horizontal="left" readingOrder="0" shrinkToFit="0" vertical="center" wrapText="1"/>
    </xf>
    <xf borderId="6" fillId="6" fontId="10" numFmtId="0" xfId="0" applyAlignment="1" applyBorder="1" applyFill="1" applyFont="1">
      <alignment horizontal="center" readingOrder="0" vertical="center"/>
    </xf>
    <xf borderId="6" fillId="0" fontId="11" numFmtId="0" xfId="0" applyAlignment="1" applyBorder="1" applyFont="1">
      <alignment horizontal="center" vertical="bottom"/>
    </xf>
    <xf borderId="6" fillId="0" fontId="11" numFmtId="2" xfId="0" applyAlignment="1" applyBorder="1" applyFont="1" applyNumberFormat="1">
      <alignment horizontal="center" vertical="bottom"/>
    </xf>
    <xf borderId="0" fillId="0" fontId="12" numFmtId="0" xfId="0" applyAlignment="1" applyFont="1">
      <alignment readingOrder="0"/>
    </xf>
    <xf borderId="2" fillId="0" fontId="9" numFmtId="0" xfId="0" applyAlignment="1" applyBorder="1" applyFont="1">
      <alignment readingOrder="0" shrinkToFit="0" vertical="center" wrapText="1"/>
    </xf>
    <xf borderId="7" fillId="7" fontId="13" numFmtId="0" xfId="0" applyAlignment="1" applyBorder="1" applyFill="1" applyFont="1">
      <alignment horizontal="center" readingOrder="0" shrinkToFit="0" vertical="center" wrapText="1"/>
    </xf>
    <xf borderId="8" fillId="0" fontId="9" numFmtId="0" xfId="0" applyAlignment="1" applyBorder="1" applyFont="1">
      <alignment horizontal="center" readingOrder="0" vertical="center"/>
    </xf>
    <xf borderId="9" fillId="0" fontId="14" numFmtId="0" xfId="0" applyAlignment="1" applyBorder="1" applyFont="1">
      <alignment readingOrder="0" shrinkToFit="0" vertical="center" wrapText="1"/>
    </xf>
    <xf borderId="9" fillId="0" fontId="5" numFmtId="0" xfId="0" applyBorder="1" applyFont="1"/>
    <xf borderId="8" fillId="0" fontId="5" numFmtId="0" xfId="0" applyBorder="1" applyFont="1"/>
    <xf borderId="1" fillId="7" fontId="13" numFmtId="0" xfId="0" applyAlignment="1" applyBorder="1" applyFont="1">
      <alignment horizontal="center" readingOrder="0" shrinkToFit="0" vertical="center" wrapText="1"/>
    </xf>
    <xf borderId="7" fillId="0" fontId="5" numFmtId="0" xfId="0" applyBorder="1" applyFont="1"/>
    <xf borderId="10" fillId="0" fontId="1" numFmtId="0" xfId="0" applyAlignment="1" applyBorder="1" applyFont="1">
      <alignment horizontal="center" vertical="center"/>
    </xf>
    <xf borderId="11" fillId="0" fontId="15" numFmtId="0" xfId="0" applyAlignment="1" applyBorder="1" applyFont="1">
      <alignment readingOrder="0" shrinkToFit="0" vertical="center" wrapText="1"/>
    </xf>
    <xf borderId="6" fillId="6" fontId="16" numFmtId="0" xfId="0" applyAlignment="1" applyBorder="1" applyFont="1">
      <alignment horizontal="center"/>
    </xf>
    <xf borderId="0" fillId="0" fontId="1" numFmtId="0" xfId="0" applyAlignment="1" applyFont="1">
      <alignment horizontal="left" vertical="bottom"/>
    </xf>
    <xf borderId="6" fillId="0" fontId="1" numFmtId="0" xfId="0" applyAlignment="1" applyBorder="1" applyFont="1">
      <alignment horizontal="center" vertical="bottom"/>
    </xf>
    <xf borderId="0" fillId="3" fontId="3" numFmtId="0" xfId="0" applyAlignment="1" applyFont="1">
      <alignment horizontal="center" readingOrder="0" shrinkToFit="0" vertical="center" wrapText="0"/>
    </xf>
    <xf borderId="0" fillId="0" fontId="11" numFmtId="0" xfId="0" applyAlignment="1" applyFont="1">
      <alignment vertical="bottom"/>
    </xf>
    <xf borderId="0" fillId="0" fontId="11" numFmtId="0" xfId="0" applyAlignment="1" applyFont="1">
      <alignment readingOrder="0" vertical="bottom"/>
    </xf>
    <xf borderId="6" fillId="0" fontId="10" numFmtId="0" xfId="0" applyAlignment="1" applyBorder="1" applyFont="1">
      <alignment horizontal="center" readingOrder="0" shrinkToFit="0" vertical="center" wrapText="1"/>
    </xf>
    <xf borderId="6" fillId="0" fontId="10" numFmtId="164" xfId="0" applyAlignment="1" applyBorder="1" applyFont="1" applyNumberFormat="1">
      <alignment horizontal="center" readingOrder="0" shrinkToFit="0" vertical="center" wrapText="1"/>
    </xf>
    <xf borderId="6" fillId="0" fontId="10" numFmtId="2" xfId="0" applyAlignment="1" applyBorder="1" applyFont="1" applyNumberFormat="1">
      <alignment horizontal="center" readingOrder="0" shrinkToFit="0" vertical="center" wrapText="1"/>
    </xf>
    <xf borderId="0" fillId="0" fontId="17" numFmtId="0" xfId="0" applyAlignment="1" applyFont="1">
      <alignment horizontal="center" vertical="bottom"/>
    </xf>
    <xf borderId="11" fillId="3" fontId="17" numFmtId="0" xfId="0" applyAlignment="1" applyBorder="1" applyFont="1">
      <alignment horizontal="center" vertical="bottom"/>
    </xf>
    <xf borderId="0" fillId="0" fontId="18" numFmtId="0" xfId="0" applyAlignment="1" applyFont="1">
      <alignment horizontal="center" vertical="center"/>
    </xf>
    <xf borderId="12" fillId="5" fontId="18" numFmtId="0" xfId="0" applyAlignment="1" applyBorder="1" applyFont="1">
      <alignment horizontal="center" vertical="center"/>
    </xf>
    <xf borderId="1" fillId="5" fontId="18" numFmtId="0" xfId="0" applyAlignment="1" applyBorder="1" applyFont="1">
      <alignment horizontal="center" shrinkToFit="0" vertical="center" wrapText="1"/>
    </xf>
    <xf borderId="13" fillId="5" fontId="18" numFmtId="0" xfId="0" applyAlignment="1" applyBorder="1" applyFont="1">
      <alignment horizontal="center" shrinkToFit="0" vertical="center" wrapText="1"/>
    </xf>
    <xf borderId="10" fillId="0" fontId="5" numFmtId="0" xfId="0" applyBorder="1" applyFont="1"/>
    <xf borderId="0" fillId="0" fontId="19" numFmtId="0" xfId="0" applyAlignment="1" applyFont="1">
      <alignment horizontal="center" vertical="center"/>
    </xf>
    <xf borderId="10" fillId="0" fontId="19" numFmtId="0" xfId="0" applyAlignment="1" applyBorder="1" applyFont="1">
      <alignment horizontal="center" vertical="center"/>
    </xf>
    <xf borderId="7" fillId="0" fontId="19" numFmtId="0" xfId="0" applyAlignment="1" applyBorder="1" applyFont="1">
      <alignment horizontal="center" vertical="center"/>
    </xf>
    <xf borderId="0" fillId="0" fontId="11" numFmtId="0" xfId="0" applyAlignment="1" applyFont="1">
      <alignment horizontal="center" vertical="bottom"/>
    </xf>
    <xf borderId="0" fillId="0" fontId="1" numFmtId="0" xfId="0" applyAlignment="1" applyFont="1">
      <alignment horizontal="center" vertical="bottom"/>
    </xf>
    <xf borderId="2" fillId="0" fontId="10" numFmtId="0" xfId="0" applyAlignment="1" applyBorder="1" applyFont="1">
      <alignment horizontal="center" readingOrder="0" shrinkToFit="0" vertical="center" wrapText="1"/>
    </xf>
    <xf borderId="0" fillId="0" fontId="12" numFmtId="0" xfId="0" applyAlignment="1" applyFont="1">
      <alignment horizontal="center"/>
    </xf>
    <xf borderId="14" fillId="0" fontId="12" numFmtId="0" xfId="0" applyBorder="1" applyFont="1"/>
    <xf borderId="0" fillId="0" fontId="20" numFmtId="0" xfId="0" applyAlignment="1" applyFont="1">
      <alignment horizontal="center" shrinkToFit="0" wrapText="0"/>
    </xf>
    <xf borderId="0" fillId="0" fontId="12" numFmtId="0" xfId="0" applyAlignment="1" applyFont="1">
      <alignment shrinkToFit="0" wrapText="0"/>
    </xf>
    <xf borderId="0" fillId="0" fontId="12" numFmtId="165" xfId="0" applyAlignment="1" applyFont="1" applyNumberFormat="1">
      <alignment shrinkToFit="0" wrapText="0"/>
    </xf>
    <xf borderId="0" fillId="0" fontId="12" numFmtId="2" xfId="0" applyAlignment="1" applyFont="1" applyNumberFormat="1">
      <alignment shrinkToFit="0" wrapText="0"/>
    </xf>
  </cellXfs>
  <cellStyles count="1">
    <cellStyle xfId="0" name="Normal" builtinId="0"/>
  </cellStyles>
  <dxfs count="3">
    <dxf>
      <font/>
      <fill>
        <patternFill patternType="solid">
          <fgColor rgb="FFB7E1CD"/>
          <bgColor rgb="FFB7E1CD"/>
        </patternFill>
      </fill>
      <border/>
    </dxf>
    <dxf>
      <font/>
      <fill>
        <patternFill patternType="solid">
          <fgColor rgb="FFEA9999"/>
          <bgColor rgb="FFEA9999"/>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schemas.microsoft.com/office/2007/relationships/slicerCache" Target="slicerCaches/slicerCache1.xml"/><Relationship Id="rId8"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104775</xdr:colOff>
      <xdr:row>0</xdr:row>
      <xdr:rowOff>133350</xdr:rowOff>
    </xdr:from>
    <xdr:ext cx="2857500" cy="2857500"/>
    <mc:AlternateContent>
      <mc:Choice Requires="sle15">
        <xdr:graphicFrame>
          <xdr:nvGraphicFramePr>
            <xdr:cNvPr id="1" name="Payment Method_1"/>
            <xdr:cNvGraphicFramePr/>
          </xdr:nvGraphicFramePr>
          <xdr:xfrm>
            <a:off x="0" y="0"/>
            <a:ext cx="0" cy="0"/>
          </xdr:xfrm>
          <a:graphic>
            <a:graphicData uri="http://schemas.microsoft.com/office/drawing/2010/slicer">
              <x3Unk:slicer name="Payment Metho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190500</xdr:colOff>
      <xdr:row>0</xdr:row>
      <xdr:rowOff>133350</xdr:rowOff>
    </xdr:from>
    <xdr:ext cx="2857500" cy="2857500"/>
    <mc:AlternateContent>
      <mc:Choice Requires="sle15">
        <xdr:graphicFrame>
          <xdr:nvGraphicFramePr>
            <xdr:cNvPr id="2" name="Purchase date - Year-Month_2"/>
            <xdr:cNvGraphicFramePr/>
          </xdr:nvGraphicFramePr>
          <xdr:xfrm>
            <a:off x="0" y="0"/>
            <a:ext cx="0" cy="0"/>
          </xdr:xfrm>
          <a:graphic>
            <a:graphicData uri="http://schemas.microsoft.com/office/drawing/2010/slicer">
              <x3Unk:slicer name="Purchase date - Year-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3:I1012" sheet="Test"/>
  </cacheSource>
  <cacheFields>
    <cacheField name="Customer ID" numFmtId="0">
      <sharedItems>
        <s v="74-395-6959"/>
        <s v="59-909-4928"/>
        <s v="66-756-1821"/>
        <s v="14-446-2574"/>
        <s v="91-904-7926"/>
        <s v="51-376-9050"/>
        <s v="02-898-8943"/>
        <s v="07-704-3255"/>
        <s v="19-250-6770"/>
        <s v="12-462-4567"/>
        <s v="13-890-0143"/>
        <s v="96-579-2883"/>
        <s v="49-629-8348"/>
        <s v="58-114-5429"/>
        <s v="73-759-7874"/>
        <s v="27-359-6961"/>
        <s v="06-569-2169"/>
        <s v="14-882-0051"/>
        <s v="63-683-0411"/>
        <s v="41-543-6767"/>
        <s v="01-700-3963"/>
        <s v="85-038-7852"/>
        <s v="48-200-5475"/>
        <s v="77-357-1136"/>
        <s v="29-270-6082"/>
        <s v="25-393-7858"/>
        <s v="06-402-2900"/>
        <s v="54-848-1548"/>
        <s v="61-304-5364"/>
        <s v="46-185-4188"/>
        <s v="63-291-3848"/>
        <s v="66-925-4811"/>
        <s v="38-227-8843"/>
        <s v="34-704-1464"/>
        <s v="80-847-6069"/>
        <s v="27-508-3672"/>
        <s v="66-896-5030"/>
        <s v="26-200-0422"/>
        <s v="18-574-7598"/>
        <s v="71-860-9013"/>
        <s v="93-868-9899"/>
        <s v="11-301-3410"/>
        <s v="23-033-3329"/>
        <s v="01-600-7497"/>
        <s v="06-368-3886"/>
        <s v="12-493-0479"/>
        <s v="58-341-0813"/>
        <s v="14-353-5330"/>
        <s v="43-155-1940"/>
        <s v="61-299-6275"/>
        <s v="00-074-4197"/>
        <s v="78-122-7663"/>
        <s v="59-069-0011"/>
        <s v="84-336-8457"/>
        <s v="68-774-9448"/>
        <s v="66-576-5513"/>
        <s v="53-717-4684"/>
        <s v="10-737-0489"/>
        <s v="80-017-6272"/>
        <s v="44-979-3551"/>
        <s v="11-641-3372"/>
        <s v="77-901-6799"/>
        <s v="01-228-0472"/>
        <s v="30-131-2695"/>
        <s v="78-580-3721"/>
        <s v="64-040-7846"/>
        <s v="37-060-6167"/>
        <s v="13-540-4738"/>
        <s v="59-776-0727"/>
        <s v="32-179-6401"/>
        <s v="98-957-5791"/>
        <s v="19-040-1968"/>
        <s v="54-236-9088"/>
        <s v="65-497-6751"/>
        <s v="17-229-1019"/>
        <s v="56-646-6436"/>
        <s v="23-572-9903"/>
        <s v="59-783-9173"/>
        <s v="15-155-9585"/>
        <s v="32-762-2285"/>
        <s v="88-546-7610"/>
        <s v="90-843-6384"/>
        <s v="22-550-0387"/>
        <s v="92-811-7480"/>
        <s v="19-360-9089"/>
        <s v="90-480-0303"/>
        <s v="54-301-2403"/>
        <s v="43-213-1688"/>
        <s v="31-497-8196"/>
        <s v="06-765-8370"/>
        <s v="05-627-8390"/>
        <s v="22-059-7415"/>
        <s v="27-788-2082"/>
        <s v="67-413-9095"/>
        <s v="11-411-4640"/>
        <s v="64-454-5746"/>
        <s v="04-905-9245"/>
        <s v="32-301-6514"/>
        <s v="48-288-7605"/>
        <s v="93-407-6217"/>
        <s v="27-351-0078"/>
        <s v="93-142-9596"/>
        <s v="10-538-2688"/>
        <s v="60-395-6554"/>
        <s v="55-601-7177"/>
        <s v="52-035-5780"/>
        <s v="59-538-4935"/>
        <s v="48-144-1450"/>
        <s v="99-651-3487"/>
        <s v="13-605-8213"/>
        <s v="08-917-0603"/>
        <s v="51-928-4792"/>
        <s v="52-281-8570"/>
        <s v="33-400-8089"/>
        <s v="72-538-6043"/>
        <s v="98-686-3252"/>
        <s v="86-227-4274"/>
        <s v="57-587-8703"/>
        <s v="61-450-8094"/>
        <s v="67-557-6969"/>
        <s v="64-695-9444"/>
        <s v="18-004-2574"/>
        <s v="13-522-0664"/>
        <s v="68-019-5815"/>
        <s v="57-353-5139"/>
        <s v="03-741-8654"/>
        <s v="54-074-3348"/>
        <s v="17-554-3792"/>
        <s v="52-676-8915"/>
        <s v="03-935-2953"/>
        <s v="29-368-7788"/>
        <s v="88-963-2199"/>
        <s v="04-297-7607"/>
        <s v="35-478-1974"/>
        <s v="13-784-8361"/>
        <s v="56-323-8810"/>
        <s v="50-075-6130"/>
        <s v="62-239-8222"/>
        <s v="89-233-1448"/>
        <s v="47-727-0442"/>
        <s v="58-883-3118"/>
        <s v="08-611-7434"/>
        <s v="75-402-4273"/>
        <s v="96-947-8178"/>
        <s v="57-194-4398"/>
        <s v="92-564-6986"/>
        <s v="06-618-2315"/>
        <s v="85-838-9251"/>
        <s v="27-467-0354"/>
        <s v="10-305-1237"/>
        <s v="12-067-8467"/>
        <s v="13-465-6269"/>
        <s v="07-983-9515"/>
        <s v="77-859-0914"/>
        <s v="29-429-1656"/>
        <s v="34-172-4359"/>
        <s v="13-520-0875"/>
        <s v="24-781-0123"/>
        <s v="87-408-6470"/>
        <s v="93-117-5318"/>
        <s v="22-870-8827"/>
        <s v="40-194-4734"/>
        <s v="71-693-8499"/>
        <s v="49-573-1958"/>
        <s v="21-076-9931"/>
        <s v="78-635-7000"/>
        <s v="46-715-7510"/>
        <s v="74-665-2031"/>
        <s v="06-027-9224"/>
        <s v="73-274-1336"/>
        <s v="27-029-8925"/>
        <s v="56-785-1205"/>
        <s v="85-365-6108"/>
        <s v="91-516-0670"/>
        <s v="51-099-5307"/>
        <s v="08-264-9757"/>
        <s v="97-489-6457"/>
        <s v="82-523-1731"/>
        <s v="96-505-9442"/>
        <s v="93-907-4098"/>
        <s v="18-784-9545"/>
        <s v="76-352-6642"/>
        <s v="06-712-7811"/>
        <s v="66-917-4324"/>
        <s v="39-827-1681"/>
        <s v="85-914-6339"/>
        <s v="70-155-8579"/>
        <s v="16-672-3886"/>
        <s v="23-174-1056"/>
        <s v="61-884-1362"/>
        <s v="66-544-7052"/>
        <s v="87-161-8291"/>
        <s v="51-726-9981"/>
        <s v="60-524-9332"/>
        <s v="66-556-5232"/>
        <s v="46-809-8239"/>
        <s v="76-761-6165"/>
        <s v="86-447-6682"/>
        <s v="05-726-4008"/>
        <s v="30-966-2227"/>
        <s v="49-217-1185"/>
        <s v="91-293-3639"/>
        <s v="56-985-3679"/>
        <s v="25-927-1779"/>
        <s v="59-413-9274"/>
        <s v="73-048-6976"/>
        <s v="87-994-3309"/>
        <s v="51-929-4065"/>
        <s v="94-411-2932"/>
        <s v="96-314-6950"/>
        <s v="05-718-5877"/>
        <s v="38-302-3268"/>
        <s v="08-728-1975"/>
        <s v="14-235-5840"/>
        <s v="78-963-0599"/>
        <s v="98-652-6287"/>
        <s v="29-036-0262"/>
        <s v="36-897-8951"/>
        <s v="70-887-0829"/>
        <s v="96-780-3940"/>
        <s v="60-913-6927"/>
        <s v="57-380-6045"/>
        <s v="04-374-6745"/>
        <s v="81-761-0308"/>
        <s v="16-018-5424"/>
        <s v="69-212-2140"/>
        <s v="19-547-5557"/>
        <s v="00-565-1917"/>
        <s v="28-068-8871"/>
        <s v="40-356-6825"/>
        <s v="16-617-7604"/>
        <s v="90-516-6439"/>
        <s v="42-266-7417"/>
        <s v="25-636-3694"/>
        <s v="85-474-3815"/>
        <s v="16-214-2773"/>
        <s v="62-149-4184"/>
        <s v="98-449-6785"/>
        <s v="43-971-9364"/>
        <s v="55-670-2339"/>
        <s v="72-461-0404"/>
        <s v="12-239-4888"/>
        <s v="49-550-0037"/>
        <s v="24-489-4683"/>
        <s v="32-262-2812"/>
        <s v="66-887-4795"/>
        <s v="90-028-1681"/>
        <s v="57-171-5375"/>
        <s v="22-312-9097"/>
        <s v="67-871-5815"/>
        <s v="23-942-3697"/>
        <s v="58-653-4282"/>
        <s v="35-464-0529"/>
        <s v="58-431-8456"/>
        <s v="68-292-2037"/>
        <s v="41-663-4364"/>
        <s v="11-641-6254"/>
        <s v="21-805-6465"/>
        <s v="32-305-1210"/>
        <s v="55-370-2700"/>
        <s v="16-566-9848"/>
        <s v="25-544-3759"/>
        <s v="55-984-0798"/>
        <s v="96-209-4385"/>
        <s v="52-302-2407"/>
        <s v="47-684-8549"/>
        <s v="43-818-3608"/>
        <s v="69-724-9981"/>
        <s v="58-859-9225"/>
        <s v="84-093-9200"/>
        <s v="84-326-3520"/>
        <s v="48-753-0384"/>
        <s v="40-160-9965"/>
        <s v="18-359-0304"/>
        <s v="35-423-1085"/>
        <s v="02-588-5234"/>
        <s v="85-770-0575"/>
        <s v="38-653-0051"/>
        <s v="78-018-0252"/>
        <s v="23-781-8588"/>
        <s v="27-962-2563"/>
        <s v="08-976-0687"/>
        <s v="19-217-2530"/>
        <s v="05-330-1269"/>
        <s v="81-099-5403"/>
        <s v="02-221-3535"/>
        <s v="78-284-3139"/>
        <s v="02-394-7874"/>
        <s v="38-531-4328"/>
        <s v="23-924-1465"/>
        <s v="95-879-3876"/>
        <s v="17-672-7868"/>
        <s v="56-430-8928"/>
        <s v="12-158-9173"/>
        <s v="38-606-8991"/>
        <s v="01-005-6817"/>
        <s v="34-012-4238"/>
        <s v="58-219-5433"/>
        <s v="15-650-7304"/>
        <s v="97-413-2051"/>
        <s v="96-145-1264"/>
        <s v="84-119-5925"/>
        <s v="73-998-5320"/>
        <s v="76-273-6313"/>
        <s v="16-261-2265"/>
        <s v="36-177-7181"/>
        <s v="64-887-0449"/>
        <s v="48-974-4988"/>
        <s v="28-052-6114"/>
        <s v="95-136-1451"/>
        <s v="80-621-5223"/>
        <s v="08-673-7322"/>
        <s v="79-269-7927"/>
        <s v="35-326-5358"/>
        <s v="31-742-4336"/>
        <s v="04-797-8743"/>
        <s v="31-479-5718"/>
        <s v="50-697-9434"/>
        <s v="51-800-6147"/>
        <s v="59-320-4510"/>
        <s v="80-342-0647"/>
        <s v="35-127-1955"/>
        <s v="58-118-8575"/>
        <s v="84-669-5332"/>
        <s v="86-325-7128"/>
        <s v="47-895-6897"/>
        <s v="01-286-1856"/>
        <s v="40-773-6278"/>
        <s v="48-372-5312"/>
        <s v="41-906-9574"/>
        <s v="05-850-7285"/>
        <s v="59-988-0619"/>
        <s v="81-770-4721"/>
        <s v="41-193-4012"/>
        <s v="01-479-5335"/>
        <s v="60-551-0739"/>
        <s v="51-099-9634"/>
        <s v="31-591-2757"/>
        <s v="63-458-3132"/>
        <s v="11-933-7311"/>
        <s v="48-076-6299"/>
        <s v="88-313-8965"/>
        <s v="16-276-0363"/>
        <s v="06-259-7944"/>
        <s v="06-695-5309"/>
        <s v="58-393-2359"/>
        <s v="65-904-4034"/>
        <s v="13-853-4989"/>
        <s v="10-189-6176"/>
        <s v="68-801-5328"/>
        <s v="66-077-8609"/>
        <s v="96-729-6410"/>
        <s v="16-482-3999"/>
        <s v="72-613-9806"/>
        <s v="16-971-0657"/>
        <s v="17-025-8292"/>
        <s v="98-204-0276"/>
        <s v="53-212-3835"/>
        <s v="58-318-2067"/>
        <s v="92-916-6098"/>
        <s v="07-949-7452"/>
        <s v="47-654-0521"/>
        <s v="49-200-8922"/>
        <s v="81-306-6264"/>
        <s v="54-434-6227"/>
        <s v="37-667-2928"/>
        <s v="37-918-8880"/>
        <s v="37-913-6784"/>
        <s v="70-456-1983"/>
        <s v="93-104-4156"/>
        <s v="18-615-0842"/>
        <s v="52-096-3903"/>
        <s v="91-131-8601"/>
        <s v="56-045-7330"/>
        <s v="85-382-4313"/>
        <s v="34-774-6017"/>
        <s v="78-578-7813"/>
        <s v="78-205-0042"/>
        <s v="74-980-8234"/>
        <s v="50-098-9927"/>
        <s v="66-680-3383"/>
        <s v="36-116-5262"/>
        <s v="47-640-5811"/>
        <s v="03-533-9483"/>
        <s v="36-748-3086"/>
        <s v="64-751-4443"/>
        <s v="28-796-4096"/>
        <s v="36-920-4343"/>
        <s v="98-698-3972"/>
        <s v="58-730-0744"/>
        <s v="62-744-1312"/>
        <s v="60-818-9629"/>
        <s v="34-337-2319"/>
        <s v="68-321-2546"/>
        <s v="74-569-3919"/>
        <s v="65-723-8303"/>
        <s v="92-260-9635"/>
        <s v="61-393-7465"/>
        <s v="07-715-0138"/>
        <s v="09-321-4236"/>
        <s v="75-909-6197"/>
        <s v="18-014-9644"/>
        <s v="22-446-6816"/>
        <s v="16-813-8425"/>
        <s v="68-975-2823"/>
        <s v="35-229-8299"/>
        <s v="91-851-0404"/>
        <s v="06-796-6285"/>
        <s v="96-763-6900"/>
        <s v="25-755-7122"/>
        <s v="67-171-2883"/>
        <s v="13-316-5262"/>
        <s v="01-452-7413"/>
        <s v="15-672-1516"/>
        <s v="22-838-0752"/>
        <s v="76-915-7167"/>
        <s v="79-219-0964"/>
        <s v="42-045-4165"/>
        <s v="24-159-4840"/>
        <s v="02-427-7313"/>
        <s v="29-944-2413"/>
        <s v="89-597-6072"/>
        <s v="25-955-6850"/>
        <s v="94-651-0946"/>
        <s v="59-708-0737"/>
        <s v="80-128-0094"/>
        <s v="04-050-7430"/>
        <s v="47-387-4481"/>
        <s v="57-928-0762"/>
        <s v="50-766-3234"/>
        <s v="18-053-9141"/>
        <s v="46-712-5615"/>
        <s v="75-952-3287"/>
        <s v="91-040-7517"/>
        <s v="43-592-1177"/>
        <s v="83-787-5961"/>
        <s v="86-201-5043"/>
        <s v="14-147-6240"/>
        <s v="25-810-8761"/>
        <s v="72-706-5384"/>
        <s v="76-159-1914"/>
        <s v="10-348-6678"/>
        <s v="28-457-9602"/>
        <s v="20-387-3138"/>
        <s v="58-245-4938"/>
        <s v="57-520-1134"/>
        <s v="91-624-2126"/>
        <s v="09-576-2240"/>
        <s v="07-698-8343"/>
        <s v="51-315-0017"/>
        <s v="13-570-4473"/>
        <s v="42-084-1470"/>
        <s v="91-280-7382"/>
        <s v="92-255-5379"/>
        <s v="62-456-3363"/>
        <s v="04-958-9334"/>
        <s v="94-337-0289"/>
        <s v="52-185-0616"/>
        <s v="77-011-4911"/>
        <s v="03-297-9653"/>
        <s v="53-459-9211"/>
        <s v="13-453-5580"/>
        <s v="20-169-9492"/>
        <s v="80-924-7279"/>
        <s v="91-797-1922"/>
        <s v="51-787-6676"/>
        <s v="32-059-0363"/>
        <s v="08-983-6666"/>
        <s v="29-284-8019"/>
        <s v="45-261-1686"/>
        <s v="96-386-6913"/>
        <s v="04-561-6453"/>
        <s v="70-509-9923"/>
        <s v="18-298-6166"/>
        <s v="98-952-0614"/>
        <s v="58-423-2286"/>
        <s v="10-068-0883"/>
        <s v="56-614-3822"/>
        <s v="34-660-2828"/>
        <s v="86-118-9388"/>
        <s v="06-337-9822"/>
        <s v="72-422-0776"/>
        <s v="39-070-9745"/>
        <s v="14-646-5160"/>
        <s v="16-998-9872"/>
        <s v="68-482-6975"/>
        <s v="98-790-2548"/>
        <s v="01-254-4758"/>
        <s v="64-516-9760"/>
        <s v="92-233-6122"/>
        <s v="44-269-9013"/>
        <s v="53-693-2204"/>
        <s v="10-651-6055"/>
        <s v="96-574-0317"/>
        <s v="74-695-0470"/>
        <s v="17-159-8454"/>
        <s v="88-669-1075"/>
        <s v="40-459-7439"/>
        <s v="56-956-8489"/>
        <s v="71-140-1916"/>
        <s v="88-662-4646"/>
        <s v="64-235-4200"/>
        <s v="63-623-0888"/>
        <s v="26-666-4708"/>
        <s v="57-142-1204"/>
        <s v="27-232-6503"/>
        <s v="79-637-2406"/>
        <s v="93-263-6686"/>
        <s v="75-018-3472"/>
        <s v="02-441-4347"/>
        <s v="43-263-5871"/>
        <s v="15-903-1893"/>
        <s v="25-234-7971"/>
        <s v="86-566-2633"/>
        <s v="28-340-8860"/>
        <s v="12-263-0898"/>
        <s v="07-623-5132"/>
        <s v="83-490-2582"/>
        <s v="52-293-2276"/>
        <s v="80-432-2845"/>
        <s v="22-428-0850"/>
        <s v="34-624-4346"/>
        <s v="62-190-2771"/>
        <s v="05-982-6131"/>
        <s v="10-864-2850"/>
        <s v="29-336-4388"/>
        <s v="56-219-6148"/>
        <s v="32-538-6413"/>
        <s v="41-453-0239"/>
        <s v="19-119-1645"/>
        <s v="15-351-6857"/>
        <s v="49-445-1435"/>
        <s v="23-821-5369"/>
        <s v="34-349-3968"/>
        <s v="94-361-6637"/>
        <s v="43-348-7269"/>
        <s v="63-474-1708"/>
        <s v="20-555-1435"/>
        <s v="62-194-2116"/>
        <s v="11-149-5653"/>
        <s v="65-849-9996"/>
        <s v="51-094-9972"/>
        <s v="21-395-1695"/>
        <s v="11-829-9210"/>
        <s v="50-570-3450"/>
        <s v="72-283-5858"/>
        <s v="66-654-2748"/>
        <s v="33-248-3031"/>
        <s v="62-891-2395"/>
        <s v="46-668-9529"/>
        <s v="27-822-3757"/>
        <s v="50-721-2685"/>
        <s v="05-080-9721"/>
        <s v="38-921-0626"/>
        <s v="47-136-7638"/>
        <s v="95-844-2667"/>
        <s v="00-757-8976"/>
        <s v="61-072-5774"/>
        <s v="44-991-2548"/>
        <s v="75-733-7370"/>
        <s v="70-301-7845"/>
        <s v="61-913-0066"/>
        <s v="32-008-5156"/>
        <s v="05-755-2924"/>
        <s v="42-941-1350"/>
        <s v="58-352-0991"/>
        <s v="20-250-5959"/>
        <s v="38-286-3220"/>
        <s v="75-893-0330"/>
        <s v="39-427-3031"/>
        <s v="83-786-2666"/>
        <s v="57-391-0392"/>
        <s v="79-556-0547"/>
        <s v="96-630-7878"/>
        <s v="88-407-2614"/>
        <s v="65-423-3064"/>
        <s v="94-116-6634"/>
        <s v="59-985-2075"/>
        <s v="39-945-5303"/>
        <s v="28-204-7348"/>
        <s v="44-390-3569"/>
        <s v="09-772-6335"/>
        <s v="43-611-6537"/>
        <s v="28-072-1146"/>
        <s v="04-936-6152"/>
        <s v="70-202-2662"/>
        <s v="28-918-8049"/>
        <s v="44-362-6404"/>
        <s v="11-234-8294"/>
        <s v="36-754-4956"/>
        <s v="05-956-4938"/>
        <s v="87-109-2733"/>
        <s v="25-931-1872"/>
        <s v="00-849-1643"/>
        <s v="52-536-7067"/>
        <s v="92-863-5825"/>
        <s v="27-512-5768"/>
        <s v="19-999-1932"/>
        <s v="13-015-2547"/>
        <s v="24-185-9836"/>
        <s v="78-672-9460"/>
        <s v="81-302-1352"/>
        <s v="62-391-1874"/>
        <s v="62-310-9864"/>
        <s v="67-251-5997"/>
        <s v="16-576-0745"/>
        <s v="89-792-4293"/>
        <s v="59-263-6966"/>
        <s v="42-043-9587"/>
        <s v="40-322-7634"/>
        <s v="13-223-2063"/>
        <s v="07-326-1225"/>
        <s v="04-893-9610"/>
        <s v="94-820-2455"/>
        <s v="10-498-3164"/>
        <s v="28-416-7803"/>
        <s v="83-256-2623"/>
        <s v="44-426-7890"/>
        <s v="81-266-2503"/>
        <s v="34-519-5677"/>
        <s v="53-583-6324"/>
        <s v="17-471-2210"/>
        <s v="43-467-0968"/>
        <s v="73-786-3979"/>
        <s v="29-951-7706"/>
        <s v="31-782-4511"/>
        <s v="53-675-2341"/>
        <s v="63-689-9604"/>
        <s v="06-363-9708"/>
        <s v="54-397-6399"/>
        <s v="67-246-0912"/>
        <s v="23-019-2473"/>
        <s v="87-569-2953"/>
        <s v="23-769-1596"/>
        <s v="97-027-0757"/>
        <s v="05-395-8900"/>
        <s v="55-951-4677"/>
        <s v="60-421-1862"/>
        <s v="49-604-1507"/>
        <s v="95-206-7016"/>
        <s v="94-317-6270"/>
        <s v="84-340-5716"/>
        <s v="42-971-2036"/>
        <s v="90-551-3913"/>
        <s v="70-105-0204"/>
        <s v="13-556-8614"/>
        <s v="47-818-1880"/>
        <s v="20-359-3899"/>
        <s v="22-838-4130"/>
        <s v="79-091-9451"/>
        <s v="78-801-3325"/>
        <s v="05-220-5914"/>
        <s v="21-796-6382"/>
        <s v="48-694-1700"/>
        <s v="66-275-2184"/>
        <s v="76-685-2868"/>
        <s v="08-313-5205"/>
        <s v="59-750-3315"/>
        <s v="15-800-0427"/>
        <s v="59-165-6606"/>
        <s v="46-412-1416"/>
        <s v="75-391-4597"/>
        <s v="01-449-9365"/>
        <s v="28-258-6443"/>
        <s v="04-180-9453"/>
        <s v="67-228-8769"/>
        <s v="52-466-8857"/>
        <s v="38-773-9466"/>
        <s v="03-178-7817"/>
        <s v="24-295-2027"/>
        <s v="38-860-1404"/>
        <s v="06-666-8904"/>
        <s v="65-696-2916"/>
        <s v="78-584-2843"/>
        <s v="13-622-9935"/>
        <s v="08-639-5421"/>
        <s v="53-301-7273"/>
        <s v="73-444-5045"/>
        <s v="36-476-8131"/>
        <s v="48-228-9708"/>
        <s v="59-847-3505"/>
        <s v="99-859-5059"/>
        <s v="60-683-2431"/>
        <s v="31-645-5220"/>
        <s v="26-293-9341"/>
        <s v="79-521-2899"/>
        <s v="01-768-5789"/>
        <s v="03-423-0717"/>
        <s v="29-939-2083"/>
        <s v="74-341-9363"/>
        <s v="39-456-7849"/>
        <s v="58-777-0714"/>
        <s v="74-286-5184"/>
        <s v="31-948-6519"/>
        <s v="94-991-7696"/>
        <s v="48-034-7345"/>
        <s v="94-008-2575"/>
        <s v="95-966-2908"/>
        <s v="05-336-9866"/>
        <s v="97-686-1452"/>
        <s v="16-502-4612"/>
        <s v="97-343-5440"/>
        <s v="45-461-0835"/>
        <s v="43-446-2149"/>
        <s v="23-020-4703"/>
        <s v="80-135-5763"/>
        <s v="53-641-8152"/>
        <s v="50-663-1986"/>
        <s v="61-160-1524"/>
        <s v="59-090-1236"/>
        <s v="65-086-6503"/>
        <s v="45-527-5505"/>
        <s v="46-391-9860"/>
        <s v="35-136-1585"/>
        <s v="96-836-3010"/>
        <s v="91-384-1442"/>
        <s v="00-297-6102"/>
        <s v="61-372-1236"/>
        <s v="60-914-1823"/>
        <s v="67-319-3390"/>
        <s v="71-493-9760"/>
        <s v="98-775-7591"/>
        <s v="90-311-5709"/>
        <s v="18-577-3035"/>
        <s v="41-285-3207"/>
        <s v="09-487-1142"/>
        <s v="77-456-4340"/>
        <s v="73-783-4098"/>
        <s v="62-216-4006"/>
        <s v="29-877-4416"/>
        <s v="92-302-5441"/>
        <s v="91-594-7668"/>
        <s v="02-048-9354"/>
        <s v="12-182-0048"/>
        <s v="43-033-3619"/>
        <s v="31-749-6358"/>
        <s v="67-741-0328"/>
        <s v="91-118-5974"/>
        <s v="72-067-3864"/>
        <s v="61-119-8876"/>
        <s v="72-498-2217"/>
        <s v="25-724-2004"/>
        <s v="12-284-6902"/>
        <s v="64-672-0080"/>
        <s v="02-400-1412"/>
        <s v="27-086-2133"/>
        <s v="19-257-1749"/>
        <s v="99-902-2083"/>
        <s v="44-869-1363"/>
        <s v="85-058-7201"/>
        <s v="97-663-6784"/>
        <s v="99-421-5401"/>
        <s v="43-741-3419"/>
        <s v="43-148-3714"/>
        <s v="11-193-6684"/>
        <s v="97-349-8778"/>
        <s v="66-845-4777"/>
        <s v="88-738-0288"/>
        <s v="50-113-9869"/>
        <s v="64-202-9640"/>
        <s v="97-150-0808"/>
        <s v="89-797-8152"/>
        <s v="27-360-9341"/>
        <s v="86-908-0109"/>
        <s v="24-761-0274"/>
        <s v="71-876-2447"/>
        <s v="47-211-0816"/>
        <s v="53-755-7907"/>
        <s v="98-989-6316"/>
        <s v="72-604-0385"/>
        <s v="31-410-0041"/>
        <s v="18-443-4267"/>
        <s v="03-290-3967"/>
        <s v="47-297-9586"/>
        <s v="29-719-3193"/>
        <s v="82-519-7456"/>
        <s v="68-284-4309"/>
        <s v="30-892-7981"/>
        <s v="21-008-1609"/>
        <s v="25-466-5896"/>
        <s v="34-269-6278"/>
        <s v="16-604-1716"/>
        <s v="83-251-1212"/>
        <s v="89-993-4182"/>
        <s v="63-955-5053"/>
        <s v="75-092-8570"/>
        <s v="54-936-9806"/>
        <s v="09-942-4657"/>
        <s v="20-010-1445"/>
        <s v="48-370-3629"/>
        <s v="27-885-6615"/>
        <s v="13-178-2712"/>
        <s v="85-299-4606"/>
        <s v="32-879-8419"/>
        <s v="70-224-2181"/>
        <s v="94-386-6578"/>
        <s v="54-962-5694"/>
        <s v="87-544-4013"/>
        <s v="17-277-5556"/>
        <s v="45-984-7707"/>
        <s v="41-072-8678"/>
        <s v="42-097-4030"/>
        <s v="63-543-4616"/>
        <s v="17-732-5466"/>
        <s v="70-077-1873"/>
        <s v="40-764-6165"/>
        <s v="34-689-9665"/>
        <s v="32-339-6925"/>
        <s v="87-704-9765"/>
        <s v="93-326-5475"/>
        <s v="12-546-8250"/>
        <s v="78-402-6421"/>
        <s v="54-882-1330"/>
        <s v="03-709-7480"/>
        <s v="31-582-6547"/>
        <s v="67-460-0048"/>
        <s v="99-480-2711"/>
        <s v="09-868-1924"/>
        <s v="34-637-0615"/>
        <s v="43-808-8401"/>
        <s v="63-764-7459"/>
        <s v="80-932-4260"/>
        <s v="56-670-4657"/>
        <s v="18-779-5779"/>
        <s v="93-322-5759"/>
        <s v="85-805-9867"/>
        <s v="66-049-0479"/>
        <s v="66-513-8777"/>
        <s v="22-153-9355"/>
        <s v="58-357-2500"/>
        <s v="82-985-0060"/>
        <s v="94-802-6300"/>
        <s v="34-409-7012"/>
        <s v="67-931-4303"/>
        <s v="89-744-4453"/>
        <s v="26-120-2356"/>
        <s v="94-896-8229"/>
        <s v="58-657-1145"/>
        <s v="48-108-1718"/>
        <s v="35-123-2802"/>
        <s v="87-198-2516"/>
        <s v="26-036-2937"/>
        <s v="49-906-9015"/>
        <s v="98-615-2079"/>
        <s v="35-565-4889"/>
        <s v="57-903-8980"/>
        <s v="40-050-5915"/>
        <s v="61-321-5087"/>
        <s v="43-148-6149"/>
        <s v="67-470-7366"/>
        <s v="58-834-5141"/>
        <s v="98-117-4707"/>
        <s v="48-376-1001"/>
        <s v="51-222-8511"/>
        <s v="94-578-2234"/>
        <s v="93-753-2270"/>
        <s v="39-920-7688"/>
        <s v="85-476-1844"/>
        <s v="34-234-6816"/>
        <s v="21-045-3413"/>
        <s v="54-382-6794"/>
        <s v="58-550-9347"/>
        <s v="81-636-6815"/>
        <s v="32-799-4454"/>
        <s v="38-225-6551"/>
        <s v="03-670-7162"/>
        <s v="61-848-9702"/>
        <s v="10-694-9521"/>
        <s v="14-116-8407"/>
        <s v="31-906-5620"/>
        <s v="22-055-5800"/>
        <s v="02-567-9801"/>
        <s v="69-819-8194"/>
        <s v="58-776-4490"/>
        <s v="44-889-3528"/>
        <s v="32-956-5401"/>
        <s v="28-644-5354"/>
        <s v="57-121-3042"/>
        <s v="42-035-5722"/>
        <s v="91-452-3531"/>
        <s v="40-427-2625"/>
        <s v="70-541-5708"/>
        <s v="34-278-7795"/>
        <s v="42-207-4778"/>
        <s v="43-632-0209"/>
        <s v="78-756-0349"/>
        <s v="88-383-7710"/>
        <s v="91-401-3247"/>
        <s v="45-915-8159"/>
        <s v="42-529-3373"/>
        <s v="05-885-2636"/>
        <s v="49-628-0170"/>
        <s v="72-263-9293"/>
        <s v="86-546-2871"/>
        <s v="79-539-9292"/>
        <s v="46-824-4524"/>
        <s v="80-479-4675"/>
        <s v="11-303-8490"/>
        <s v="58-756-5695"/>
        <s v="76-982-1091"/>
        <s v="11-368-8486"/>
        <s v="41-379-6432"/>
        <s v="14-118-0430"/>
        <s v="25-701-8249"/>
        <s v="94-955-0677"/>
        <s v="64-976-7896"/>
        <s v="60-137-3680"/>
        <s v="15-466-6260"/>
        <s v="96-614-8666"/>
        <s v="90-196-8950"/>
        <s v="68-749-9249"/>
        <s v="12-525-0225"/>
      </sharedItems>
    </cacheField>
    <cacheField name="Purchase date" numFmtId="164">
      <sharedItems containsSemiMixedTypes="0" containsDate="1" containsString="0">
        <d v="2022-07-15T00:00:00Z"/>
        <d v="2022-09-02T00:00:00Z"/>
        <d v="2022-04-27T00:00:00Z"/>
        <d v="2022-06-21T00:00:00Z"/>
        <d v="2022-08-23T00:00:00Z"/>
        <d v="2022-07-21T00:00:00Z"/>
        <d v="2022-07-16T00:00:00Z"/>
        <d v="2022-02-18T00:00:00Z"/>
        <d v="2022-11-26T00:00:00Z"/>
        <d v="2022-11-19T00:00:00Z"/>
        <d v="2022-04-24T00:00:00Z"/>
        <d v="2022-04-28T00:00:00Z"/>
        <d v="2022-10-13T00:00:00Z"/>
        <d v="2022-04-09T00:00:00Z"/>
        <d v="2022-10-11T00:00:00Z"/>
        <d v="2022-03-05T00:00:00Z"/>
        <d v="2022-08-17T00:00:00Z"/>
        <d v="2022-01-01T00:00:00Z"/>
        <d v="2022-01-31T00:00:00Z"/>
        <d v="2022-05-10T00:00:00Z"/>
        <d v="2022-07-14T00:00:00Z"/>
        <d v="2022-10-29T00:00:00Z"/>
        <d v="2022-03-10T00:00:00Z"/>
        <d v="2022-02-14T00:00:00Z"/>
        <d v="2022-09-23T00:00:00Z"/>
        <d v="2022-10-23T00:00:00Z"/>
        <d v="2022-07-19T00:00:00Z"/>
        <d v="2022-01-16T00:00:00Z"/>
        <d v="2022-02-20T00:00:00Z"/>
        <d v="2022-02-04T00:00:00Z"/>
        <d v="2022-06-25T00:00:00Z"/>
        <d v="2022-01-21T00:00:00Z"/>
        <d v="2022-04-13T00:00:00Z"/>
        <d v="2022-01-20T00:00:00Z"/>
        <d v="2022-09-26T00:00:00Z"/>
        <d v="2022-03-09T00:00:00Z"/>
        <d v="2022-02-15T00:00:00Z"/>
        <d v="2022-05-22T00:00:00Z"/>
        <d v="2022-10-04T00:00:00Z"/>
        <d v="2022-12-18T00:00:00Z"/>
        <d v="2022-11-09T00:00:00Z"/>
        <d v="2022-11-03T00:00:00Z"/>
        <d v="2022-11-08T00:00:00Z"/>
        <d v="2022-06-02T00:00:00Z"/>
        <d v="2022-02-02T00:00:00Z"/>
        <d v="2022-11-27T00:00:00Z"/>
        <d v="2022-03-23T00:00:00Z"/>
        <d v="2022-01-12T00:00:00Z"/>
        <d v="2022-12-08T00:00:00Z"/>
        <d v="2022-03-02T00:00:00Z"/>
        <d v="2022-11-30T00:00:00Z"/>
        <d v="2022-10-06T00:00:00Z"/>
        <d v="2022-10-10T00:00:00Z"/>
        <d v="2022-10-17T00:00:00Z"/>
        <d v="2022-05-17T00:00:00Z"/>
        <d v="2022-05-28T00:00:00Z"/>
        <d v="2022-11-22T00:00:00Z"/>
        <d v="2022-07-26T00:00:00Z"/>
        <d v="2022-09-03T00:00:00Z"/>
        <d v="2022-01-04T00:00:00Z"/>
        <d v="2022-11-25T00:00:00Z"/>
        <d v="2022-09-11T00:00:00Z"/>
        <d v="2022-10-07T00:00:00Z"/>
        <d v="2022-01-09T00:00:00Z"/>
        <d v="2022-02-22T00:00:00Z"/>
        <d v="2022-10-09T00:00:00Z"/>
        <d v="2022-01-19T00:00:00Z"/>
        <d v="2022-03-16T00:00:00Z"/>
        <d v="2022-03-18T00:00:00Z"/>
        <d v="2022-08-30T00:00:00Z"/>
        <d v="2022-08-24T00:00:00Z"/>
        <d v="2022-08-03T00:00:00Z"/>
        <d v="2022-06-14T00:00:00Z"/>
        <d v="2022-06-05T00:00:00Z"/>
        <d v="2022-07-18T00:00:00Z"/>
        <d v="2022-08-15T00:00:00Z"/>
        <d v="2022-01-27T00:00:00Z"/>
        <d v="2022-10-18T00:00:00Z"/>
        <d v="2022-06-04T00:00:00Z"/>
        <d v="2022-02-28T00:00:00Z"/>
        <d v="2022-09-04T00:00:00Z"/>
        <d v="2022-07-28T00:00:00Z"/>
        <d v="2022-03-24T00:00:00Z"/>
        <d v="2022-04-22T00:00:00Z"/>
        <d v="2022-06-12T00:00:00Z"/>
        <d v="2022-10-21T00:00:00Z"/>
        <d v="2022-01-24T00:00:00Z"/>
        <d v="2022-05-24T00:00:00Z"/>
        <d v="2022-03-07T00:00:00Z"/>
        <d v="2022-12-22T00:00:00Z"/>
        <d v="2022-12-07T00:00:00Z"/>
        <d v="2022-06-09T00:00:00Z"/>
        <d v="2022-12-24T00:00:00Z"/>
        <d v="2022-03-25T00:00:00Z"/>
        <d v="2022-09-13T00:00:00Z"/>
        <d v="2022-08-02T00:00:00Z"/>
        <d v="2022-02-24T00:00:00Z"/>
        <d v="2022-02-03T00:00:00Z"/>
        <d v="2022-08-01T00:00:00Z"/>
        <d v="2022-04-21T00:00:00Z"/>
        <d v="2022-05-07T00:00:00Z"/>
        <d v="2022-09-25T00:00:00Z"/>
        <d v="2022-08-20T00:00:00Z"/>
        <d v="2022-07-23T00:00:00Z"/>
        <d v="2022-11-01T00:00:00Z"/>
        <d v="2022-10-01T00:00:00Z"/>
        <d v="2022-10-25T00:00:00Z"/>
        <d v="2022-07-04T00:00:00Z"/>
        <d v="2022-08-29T00:00:00Z"/>
        <d v="2022-04-23T00:00:00Z"/>
        <d v="2022-03-27T00:00:00Z"/>
        <d v="2022-08-16T00:00:00Z"/>
        <d v="2022-03-13T00:00:00Z"/>
        <d v="2022-02-16T00:00:00Z"/>
        <d v="2022-06-03T00:00:00Z"/>
        <d v="2022-02-12T00:00:00Z"/>
        <d v="2022-05-08T00:00:00Z"/>
        <d v="2022-06-24T00:00:00Z"/>
        <d v="2022-03-06T00:00:00Z"/>
        <d v="2022-08-10T00:00:00Z"/>
        <d v="2022-02-09T00:00:00Z"/>
        <d v="2022-12-26T00:00:00Z"/>
        <d v="2022-07-12T00:00:00Z"/>
        <d v="2022-04-07T00:00:00Z"/>
        <d v="2022-09-30T00:00:00Z"/>
        <d v="2022-10-26T00:00:00Z"/>
        <d v="2022-05-05T00:00:00Z"/>
        <d v="2022-07-02T00:00:00Z"/>
        <d v="2022-12-02T00:00:00Z"/>
        <d v="2022-03-11T00:00:00Z"/>
        <d v="2022-07-05T00:00:00Z"/>
        <d v="2022-04-04T00:00:00Z"/>
        <d v="2022-06-17T00:00:00Z"/>
        <d v="2022-12-16T00:00:00Z"/>
        <d v="2022-04-15T00:00:00Z"/>
        <d v="2022-02-06T00:00:00Z"/>
        <d v="2022-04-05T00:00:00Z"/>
        <d v="2022-11-07T00:00:00Z"/>
        <d v="2022-03-30T00:00:00Z"/>
        <d v="2022-03-01T00:00:00Z"/>
        <d v="2022-01-29T00:00:00Z"/>
        <d v="2022-11-29T00:00:00Z"/>
        <d v="2022-06-18T00:00:00Z"/>
        <d v="2022-11-21T00:00:00Z"/>
        <d v="2022-06-06T00:00:00Z"/>
        <d v="2022-06-20T00:00:00Z"/>
        <d v="2022-01-22T00:00:00Z"/>
        <d v="2022-03-21T00:00:00Z"/>
        <d v="2022-12-13T00:00:00Z"/>
        <d v="2022-05-18T00:00:00Z"/>
        <d v="2022-04-03T00:00:00Z"/>
        <d v="2022-04-12T00:00:00Z"/>
        <d v="2022-09-24T00:00:00Z"/>
        <d v="2022-09-20T00:00:00Z"/>
        <d v="2022-10-16T00:00:00Z"/>
        <d v="2022-09-17T00:00:00Z"/>
        <d v="2022-08-25T00:00:00Z"/>
        <d v="2022-06-19T00:00:00Z"/>
        <d v="2022-07-08T00:00:00Z"/>
        <d v="2022-09-29T00:00:00Z"/>
        <d v="2022-02-25T00:00:00Z"/>
        <d v="2022-12-17T00:00:00Z"/>
        <d v="2022-03-28T00:00:00Z"/>
        <d v="2022-04-08T00:00:00Z"/>
        <d v="2022-05-21T00:00:00Z"/>
        <d v="2022-09-06T00:00:00Z"/>
        <d v="2022-04-19T00:00:00Z"/>
        <d v="2022-05-19T00:00:00Z"/>
        <d v="2022-02-17T00:00:00Z"/>
        <d v="2022-12-14T00:00:00Z"/>
        <d v="2022-12-15T00:00:00Z"/>
        <d v="2022-11-11T00:00:00Z"/>
        <d v="2022-12-11T00:00:00Z"/>
        <d v="2022-10-02T00:00:00Z"/>
        <d v="2022-11-17T00:00:00Z"/>
        <d v="2022-08-06T00:00:00Z"/>
        <d v="2022-12-27T00:00:00Z"/>
        <d v="2022-04-06T00:00:00Z"/>
        <d v="2022-08-28T00:00:00Z"/>
        <d v="2022-06-16T00:00:00Z"/>
        <d v="2022-06-22T00:00:00Z"/>
        <d v="2022-08-22T00:00:00Z"/>
        <d v="2022-06-10T00:00:00Z"/>
        <d v="2022-01-25T00:00:00Z"/>
        <d v="2022-08-18T00:00:00Z"/>
        <d v="2022-06-15T00:00:00Z"/>
        <d v="2022-07-01T00:00:00Z"/>
        <d v="2022-01-23T00:00:00Z"/>
        <d v="2022-11-06T00:00:00Z"/>
        <d v="2022-04-25T00:00:00Z"/>
        <d v="2022-05-06T00:00:00Z"/>
        <d v="2022-04-16T00:00:00Z"/>
        <d v="2022-05-13T00:00:00Z"/>
        <d v="2022-05-20T00:00:00Z"/>
        <d v="2022-07-07T00:00:00Z"/>
        <d v="2022-07-30T00:00:00Z"/>
        <d v="2022-09-08T00:00:00Z"/>
        <d v="2022-08-19T00:00:00Z"/>
        <d v="2022-12-10T00:00:00Z"/>
        <d v="2022-01-05T00:00:00Z"/>
        <d v="2022-01-08T00:00:00Z"/>
        <d v="2022-05-31T00:00:00Z"/>
        <d v="2022-04-18T00:00:00Z"/>
        <d v="2022-10-14T00:00:00Z"/>
        <d v="2022-02-10T00:00:00Z"/>
        <d v="2022-09-16T00:00:00Z"/>
        <d v="2022-05-02T00:00:00Z"/>
        <d v="2022-09-12T00:00:00Z"/>
        <d v="2022-07-09T00:00:00Z"/>
        <d v="2022-09-05T00:00:00Z"/>
        <d v="2022-10-12T00:00:00Z"/>
        <d v="2022-06-08T00:00:00Z"/>
        <d v="2022-02-11T00:00:00Z"/>
        <d v="2022-12-03T00:00:00Z"/>
        <d v="2022-05-04T00:00:00Z"/>
        <d v="2022-08-26T00:00:00Z"/>
        <d v="2022-07-03T00:00:00Z"/>
        <d v="2022-03-12T00:00:00Z"/>
        <d v="2022-07-25T00:00:00Z"/>
        <d v="2022-10-28T00:00:00Z"/>
        <d v="2022-10-19T00:00:00Z"/>
        <d v="2022-05-11T00:00:00Z"/>
        <d v="2022-11-20T00:00:00Z"/>
        <d v="2022-11-23T00:00:00Z"/>
        <d v="2022-05-15T00:00:00Z"/>
        <d v="2022-05-16T00:00:00Z"/>
        <d v="2022-02-21T00:00:00Z"/>
        <d v="2022-12-28T00:00:00Z"/>
        <d v="2022-12-30T00:00:00Z"/>
        <d v="2022-02-05T00:00:00Z"/>
        <d v="2022-04-29T00:00:00Z"/>
        <d v="2022-10-27T00:00:00Z"/>
        <d v="2022-09-09T00:00:00Z"/>
        <d v="2022-12-04T00:00:00Z"/>
        <d v="2022-10-20T00:00:00Z"/>
        <d v="2022-05-23T00:00:00Z"/>
        <d v="2022-02-26T00:00:00Z"/>
        <d v="2022-03-26T00:00:00Z"/>
        <d v="2022-03-08T00:00:00Z"/>
        <d v="2022-09-07T00:00:00Z"/>
        <d v="2022-09-14T00:00:00Z"/>
        <d v="2022-05-29T00:00:00Z"/>
        <d v="2022-10-03T00:00:00Z"/>
        <d v="2022-11-02T00:00:00Z"/>
        <d v="2022-10-31T00:00:00Z"/>
        <d v="2022-12-19T00:00:00Z"/>
        <d v="2022-06-01T00:00:00Z"/>
        <d v="2022-09-01T00:00:00Z"/>
        <d v="2022-08-31T00:00:00Z"/>
        <d v="2022-01-03T00:00:00Z"/>
        <d v="2022-10-15T00:00:00Z"/>
        <d v="2022-04-17T00:00:00Z"/>
        <d v="2022-01-30T00:00:00Z"/>
        <d v="2022-01-15T00:00:00Z"/>
        <d v="2022-11-15T00:00:00Z"/>
        <d v="2022-05-14T00:00:00Z"/>
        <d v="2022-03-04T00:00:00Z"/>
        <d v="2022-02-23T00:00:00Z"/>
        <d v="2022-05-03T00:00:00Z"/>
        <d v="2022-08-27T00:00:00Z"/>
        <d v="2022-03-31T00:00:00Z"/>
        <d v="2022-08-14T00:00:00Z"/>
        <d v="2022-05-25T00:00:00Z"/>
        <d v="2022-01-02T00:00:00Z"/>
        <d v="2022-05-30T00:00:00Z"/>
        <d v="2022-09-19T00:00:00Z"/>
        <d v="2022-12-06T00:00:00Z"/>
        <d v="2022-09-21T00:00:00Z"/>
        <d v="2022-02-27T00:00:00Z"/>
        <d v="2022-11-18T00:00:00Z"/>
        <d v="2022-11-24T00:00:00Z"/>
        <d v="2022-01-28T00:00:00Z"/>
        <d v="2022-01-13T00:00:00Z"/>
        <d v="2022-10-08T00:00:00Z"/>
        <d v="2022-06-28T00:00:00Z"/>
        <d v="2022-02-13T00:00:00Z"/>
        <d v="2022-04-14T00:00:00Z"/>
        <d v="2022-06-26T00:00:00Z"/>
        <d v="2022-08-05T00:00:00Z"/>
        <d v="2022-01-18T00:00:00Z"/>
        <d v="2022-12-23T00:00:00Z"/>
        <d v="2022-08-11T00:00:00Z"/>
        <d v="2022-08-09T00:00:00Z"/>
        <d v="2022-01-06T00:00:00Z"/>
        <d v="2022-07-17T00:00:00Z"/>
        <d v="2022-07-10T00:00:00Z"/>
        <d v="2022-07-22T00:00:00Z"/>
        <d v="2022-01-14T00:00:00Z"/>
        <d v="2022-06-27T00:00:00Z"/>
        <d v="2022-10-24T00:00:00Z"/>
        <d v="2022-01-07T00:00:00Z"/>
        <d v="2022-07-13T00:00:00Z"/>
        <d v="2022-09-28T00:00:00Z"/>
        <d v="2022-04-02T00:00:00Z"/>
        <d v="2022-12-20T00:00:00Z"/>
        <d v="2022-08-13T00:00:00Z"/>
        <d v="2022-09-22T00:00:00Z"/>
        <d v="2022-04-20T00:00:00Z"/>
        <d v="2022-10-30T00:00:00Z"/>
        <d v="2022-03-03T00:00:00Z"/>
        <d v="2022-09-15T00:00:00Z"/>
        <d v="2022-06-11T00:00:00Z"/>
        <d v="2022-07-06T00:00:00Z"/>
        <d v="2022-12-29T00:00:00Z"/>
        <d v="2022-08-07T00:00:00Z"/>
        <d v="2022-07-11T00:00:00Z"/>
        <d v="2022-12-09T00:00:00Z"/>
        <d v="2022-11-05T00:00:00Z"/>
        <d v="2022-03-15T00:00:00Z"/>
        <d v="2022-04-30T00:00:00Z"/>
        <d v="2022-06-23T00:00:00Z"/>
        <d v="2022-06-29T00:00:00Z"/>
        <d v="2022-04-01T00:00:00Z"/>
        <d v="2022-08-04T00:00:00Z"/>
        <d v="2022-04-10T00:00:00Z"/>
        <d v="2022-02-19T00:00:00Z"/>
        <d v="2022-03-29T00:00:00Z"/>
        <d v="2022-03-17T00:00:00Z"/>
        <d v="2022-07-29T00:00:00Z"/>
        <d v="2022-11-12T00:00:00Z"/>
        <d v="2022-10-22T00:00:00Z"/>
        <d v="2022-05-27T00:00:00Z"/>
        <d v="2022-04-11T00:00:00Z"/>
        <d v="2022-05-01T00:00:00Z"/>
        <d v="2022-08-12T00:00:00Z"/>
        <d v="2022-01-11T00:00:00Z"/>
        <d v="2022-04-26T00:00:00Z"/>
        <d v="2022-02-07T00:00:00Z"/>
        <d v="2022-03-22T00:00:00Z"/>
        <d v="2022-12-21T00:00:00Z"/>
        <d v="2022-03-14T00:00:00Z"/>
        <d v="2022-05-09T00:00:00Z"/>
        <d v="2022-10-05T00:00:00Z"/>
        <d v="2022-09-27T00:00:00Z"/>
        <d v="2022-12-05T00:00:00Z"/>
        <d v="2022-07-27T00:00:00Z"/>
        <d v="2022-12-12T00:00:00Z"/>
        <d v="2022-06-30T00:00:00Z"/>
        <d v="2022-09-10T00:00:00Z"/>
        <d v="2022-05-12T00:00:00Z"/>
        <d v="2022-01-10T00:00:00Z"/>
        <d v="2022-11-13T00:00:00Z"/>
      </sharedItems>
    </cacheField>
    <cacheField name="Product ID" numFmtId="0">
      <sharedItems containsSemiMixedTypes="0" containsString="0" containsNumber="1" containsInteger="1">
        <n v="41.0"/>
        <n v="39.0"/>
        <n v="6.0"/>
        <n v="60.0"/>
        <n v="3.0"/>
        <n v="79.0"/>
        <n v="18.0"/>
        <n v="49.0"/>
        <n v="100.0"/>
        <n v="22.0"/>
        <n v="68.0"/>
        <n v="47.0"/>
        <n v="94.0"/>
        <n v="84.0"/>
        <n v="37.0"/>
        <n v="72.0"/>
        <n v="5.0"/>
        <n v="7.0"/>
        <n v="70.0"/>
        <n v="8.0"/>
        <n v="89.0"/>
        <n v="30.0"/>
        <n v="99.0"/>
        <n v="59.0"/>
        <n v="10.0"/>
        <n v="52.0"/>
        <n v="75.0"/>
        <n v="16.0"/>
        <n v="57.0"/>
        <n v="42.0"/>
        <n v="53.0"/>
        <n v="1.0"/>
        <n v="86.0"/>
        <n v="31.0"/>
        <n v="91.0"/>
        <n v="28.0"/>
        <n v="80.0"/>
        <n v="38.0"/>
        <n v="11.0"/>
        <n v="66.0"/>
        <n v="77.0"/>
        <n v="21.0"/>
        <n v="27.0"/>
        <n v="2.0"/>
        <n v="71.0"/>
        <n v="34.0"/>
        <n v="69.0"/>
        <n v="32.0"/>
        <n v="48.0"/>
        <n v="62.0"/>
        <n v="26.0"/>
        <n v="64.0"/>
        <n v="73.0"/>
        <n v="58.0"/>
        <n v="33.0"/>
        <n v="67.0"/>
        <n v="78.0"/>
        <n v="20.0"/>
        <n v="4.0"/>
        <n v="88.0"/>
        <n v="90.0"/>
        <n v="96.0"/>
        <n v="19.0"/>
        <n v="98.0"/>
        <n v="46.0"/>
        <n v="12.0"/>
        <n v="87.0"/>
        <n v="40.0"/>
        <n v="55.0"/>
        <n v="29.0"/>
        <n v="74.0"/>
        <n v="17.0"/>
        <n v="83.0"/>
        <n v="44.0"/>
        <n v="93.0"/>
        <n v="25.0"/>
        <n v="95.0"/>
        <n v="61.0"/>
        <n v="24.0"/>
        <n v="54.0"/>
        <n v="85.0"/>
        <n v="23.0"/>
        <n v="92.0"/>
        <n v="13.0"/>
        <n v="82.0"/>
        <n v="63.0"/>
        <n v="35.0"/>
        <n v="15.0"/>
        <n v="65.0"/>
        <n v="97.0"/>
        <n v="56.0"/>
        <n v="9.0"/>
        <n v="51.0"/>
        <n v="76.0"/>
        <n v="43.0"/>
        <n v="36.0"/>
        <n v="14.0"/>
        <n v="81.0"/>
        <n v="45.0"/>
        <n v="50.0"/>
      </sharedItems>
    </cacheField>
    <cacheField name="Quantity" numFmtId="0">
      <sharedItems containsSemiMixedTypes="0" containsString="0" containsNumber="1" containsInteger="1">
        <n v="826.0"/>
        <n v="240.0"/>
        <n v="657.0"/>
        <n v="819.0"/>
        <n v="920.0"/>
        <n v="185.0"/>
        <n v="391.0"/>
        <n v="833.0"/>
        <n v="145.0"/>
        <n v="745.0"/>
        <n v="889.0"/>
        <n v="871.0"/>
        <n v="528.0"/>
        <n v="868.0"/>
        <n v="126.0"/>
        <n v="360.0"/>
        <n v="118.0"/>
        <n v="968.0"/>
        <n v="600.0"/>
        <n v="973.0"/>
        <n v="756.0"/>
        <n v="863.0"/>
        <n v="453.0"/>
        <n v="678.0"/>
        <n v="329.0"/>
        <n v="251.0"/>
        <n v="922.0"/>
        <n v="679.0"/>
        <n v="201.0"/>
        <n v="379.0"/>
        <n v="197.0"/>
        <n v="784.0"/>
        <n v="554.0"/>
        <n v="584.0"/>
        <n v="38.0"/>
        <n v="146.0"/>
        <n v="964.0"/>
        <n v="598.0"/>
        <n v="404.0"/>
        <n v="894.0"/>
        <n v="445.0"/>
        <n v="508.0"/>
        <n v="544.0"/>
        <n v="7.0"/>
        <n v="586.0"/>
        <n v="309.0"/>
        <n v="15.0"/>
        <n v="896.0"/>
        <n v="257.0"/>
        <n v="505.0"/>
        <n v="944.0"/>
        <n v="269.0"/>
        <n v="565.0"/>
        <n v="950.0"/>
        <n v="189.0"/>
        <n v="337.0"/>
        <n v="591.0"/>
        <n v="719.0"/>
        <n v="385.0"/>
        <n v="666.0"/>
        <n v="713.0"/>
        <n v="370.0"/>
        <n v="861.0"/>
        <n v="900.0"/>
        <n v="127.0"/>
        <n v="766.0"/>
        <n v="516.0"/>
        <n v="718.0"/>
        <n v="751.0"/>
        <n v="703.0"/>
        <n v="67.0"/>
        <n v="484.0"/>
        <n v="175.0"/>
        <n v="740.0"/>
        <n v="187.0"/>
        <n v="119.0"/>
        <n v="850.0"/>
        <n v="110.0"/>
        <n v="128.0"/>
        <n v="421.0"/>
        <n v="473.0"/>
        <n v="674.0"/>
        <n v="887.0"/>
        <n v="897.0"/>
        <n v="869.0"/>
        <n v="583.0"/>
        <n v="847.0"/>
        <n v="21.0"/>
        <n v="95.0"/>
        <n v="705.0"/>
        <n v="548.0"/>
        <n v="892.0"/>
        <n v="20.0"/>
        <n v="959.0"/>
        <n v="144.0"/>
        <n v="153.0"/>
        <n v="812.0"/>
        <n v="606.0"/>
        <n v="971.0"/>
        <n v="988.0"/>
        <n v="173.0"/>
        <n v="513.0"/>
        <n v="956.0"/>
        <n v="846.0"/>
        <n v="628.0"/>
        <n v="490.0"/>
        <n v="642.0"/>
        <n v="853.0"/>
        <n v="793.0"/>
        <n v="982.0"/>
        <n v="365.0"/>
        <n v="576.0"/>
        <n v="523.0"/>
        <n v="303.0"/>
        <n v="159.0"/>
        <n v="401.0"/>
        <n v="801.0"/>
        <n v="715.0"/>
        <n v="632.0"/>
        <n v="14.0"/>
        <n v="418.0"/>
        <n v="238.0"/>
        <n v="581.0"/>
        <n v="410.0"/>
        <n v="641.0"/>
        <n v="307.0"/>
        <n v="770.0"/>
        <n v="433.0"/>
        <n v="233.0"/>
        <n v="714.0"/>
        <n v="808.0"/>
        <n v="622.0"/>
        <n v="164.0"/>
        <n v="82.0"/>
        <n v="427.0"/>
        <n v="903.0"/>
        <n v="362.0"/>
        <n v="74.0"/>
        <n v="954.0"/>
        <n v="824.0"/>
        <n v="420.0"/>
        <n v="858.0"/>
        <n v="75.0"/>
        <n v="291.0"/>
        <n v="671.0"/>
        <n v="471.0"/>
        <n v="906.0"/>
        <n v="301.0"/>
        <n v="241.0"/>
        <n v="768.0"/>
        <n v="214.0"/>
        <n v="215.0"/>
        <n v="704.0"/>
        <n v="723.0"/>
        <n v="466.0"/>
        <n v="711.0"/>
        <n v="875.0"/>
        <n v="192.0"/>
        <n v="156.0"/>
        <n v="775.0"/>
        <n v="412.0"/>
        <n v="90.0"/>
        <n v="967.0"/>
        <n v="331.0"/>
        <n v="945.0"/>
        <n v="794.0"/>
        <n v="313.0"/>
        <n v="872.0"/>
        <n v="416.0"/>
        <n v="805.0"/>
        <n v="936.0"/>
        <n v="45.0"/>
        <n v="937.0"/>
        <n v="835.0"/>
        <n v="170.0"/>
        <n v="93.0"/>
        <n v="758.0"/>
        <n v="932.0"/>
        <n v="816.0"/>
        <n v="928.0"/>
        <n v="790.0"/>
        <n v="10.0"/>
        <n v="730.0"/>
        <n v="436.0"/>
        <n v="430.0"/>
        <n v="18.0"/>
        <n v="540.0"/>
        <n v="279.0"/>
        <n v="546.0"/>
        <n v="330.0"/>
        <n v="580.0"/>
        <n v="623.0"/>
        <n v="50.0"/>
        <n v="620.0"/>
        <n v="432.0"/>
        <n v="582.0"/>
        <n v="132.0"/>
        <n v="893.0"/>
        <n v="562.0"/>
        <n v="923.0"/>
        <n v="589.0"/>
        <n v="339.0"/>
        <n v="402.0"/>
        <n v="372.0"/>
        <n v="89.0"/>
        <n v="83.0"/>
        <n v="154.0"/>
        <n v="451.0"/>
        <n v="135.0"/>
        <n v="275.0"/>
        <n v="792.0"/>
        <n v="997.0"/>
        <n v="86.0"/>
        <n v="663.0"/>
        <n v="167.0"/>
        <n v="570.0"/>
        <n v="918.0"/>
        <n v="152.0"/>
        <n v="179.0"/>
        <n v="317.0"/>
        <n v="566.0"/>
        <n v="252.0"/>
        <n v="696.0"/>
        <n v="575.0"/>
        <n v="469.0"/>
        <n v="873.0"/>
        <n v="702.0"/>
        <n v="315.0"/>
        <n v="953.0"/>
        <n v="771.0"/>
        <n v="526.0"/>
        <n v="555.0"/>
        <n v="811.0"/>
        <n v="725.0"/>
        <n v="494.0"/>
        <n v="909.0"/>
        <n v="461.0"/>
        <n v="852.0"/>
        <n v="321.0"/>
        <n v="687.0"/>
        <n v="84.0"/>
        <n v="122.0"/>
        <n v="631.0"/>
        <n v="399.0"/>
        <n v="946.0"/>
        <n v="483.0"/>
        <n v="99.0"/>
        <n v="32.0"/>
        <n v="862.0"/>
        <n v="22.0"/>
        <n v="685.0"/>
        <n v="627.0"/>
        <n v="151.0"/>
        <n v="533.0"/>
        <n v="560.0"/>
        <n v="716.0"/>
        <n v="992.0"/>
        <n v="814.0"/>
        <n v="901.0"/>
        <n v="860.0"/>
        <n v="188.0"/>
        <n v="648.0"/>
        <n v="380.0"/>
        <n v="689.0"/>
        <n v="480.0"/>
        <n v="289.0"/>
        <n v="739.0"/>
        <n v="254.0"/>
        <n v="579.0"/>
        <n v="112.0"/>
        <n v="728.0"/>
        <n v="864.0"/>
        <n v="543.0"/>
        <n v="760.0"/>
        <n v="58.0"/>
        <n v="966.0"/>
        <n v="422.0"/>
        <n v="24.0"/>
        <n v="392.0"/>
        <n v="929.0"/>
        <n v="200.0"/>
        <n v="969.0"/>
        <n v="318.0"/>
        <n v="827.0"/>
        <n v="518.0"/>
        <n v="592.0"/>
        <n v="660.0"/>
        <n v="25.0"/>
        <n v="343.0"/>
        <n v="17.0"/>
        <n v="184.0"/>
        <n v="298.0"/>
        <n v="817.0"/>
        <n v="176.0"/>
        <n v="563.0"/>
        <n v="417.0"/>
        <n v="781.0"/>
        <n v="444.0"/>
        <n v="829.0"/>
        <n v="103.0"/>
        <n v="676.0"/>
        <n v="356.0"/>
        <n v="774.0"/>
        <n v="604.0"/>
        <n v="364.0"/>
        <n v="463.0"/>
        <n v="213.0"/>
        <n v="578.0"/>
        <n v="762.0"/>
        <n v="571.0"/>
        <n v="712.0"/>
        <n v="542.0"/>
        <n v="460.0"/>
        <n v="358.0"/>
        <n v="373.0"/>
        <n v="327.0"/>
        <n v="640.0"/>
        <n v="822.0"/>
        <n v="670.0"/>
        <n v="130.0"/>
        <n v="450.0"/>
        <n v="207.0"/>
        <n v="405.0"/>
        <n v="754.0"/>
        <n v="994.0"/>
        <n v="73.0"/>
        <n v="100.0"/>
        <n v="26.0"/>
        <n v="27.0"/>
        <n v="452.0"/>
        <n v="255.0"/>
        <n v="311.0"/>
        <n v="686.0"/>
        <n v="978.0"/>
        <n v="798.0"/>
        <n v="389.0"/>
        <n v="13.0"/>
        <n v="157.0"/>
        <n v="180.0"/>
        <n v="616.0"/>
        <n v="500.0"/>
        <n v="437.0"/>
        <n v="724.0"/>
        <n v="921.0"/>
        <n v="384.0"/>
        <n v="673.0"/>
        <n v="472.0"/>
        <n v="930.0"/>
        <n v="601.0"/>
        <n v="877.0"/>
        <n v="980.0"/>
        <n v="381.0"/>
        <n v="525.0"/>
        <n v="753.0"/>
        <n v="547.0"/>
        <n v="952.0"/>
        <n v="614.0"/>
        <n v="262.0"/>
        <n v="304.0"/>
        <n v="338.0"/>
        <n v="293.0"/>
        <n v="914.0"/>
        <n v="806.0"/>
        <n v="680.0"/>
        <n v="280.0"/>
        <n v="779.0"/>
        <n v="435.0"/>
        <n v="905.0"/>
        <n v="984.0"/>
        <n v="935.0"/>
        <n v="769.0"/>
        <n v="352.0"/>
        <n v="874.0"/>
        <n v="276.0"/>
        <n v="9.0"/>
        <n v="33.0"/>
        <n v="726.0"/>
        <n v="308.0"/>
        <n v="458.0"/>
        <n v="651.0"/>
        <n v="61.0"/>
        <n v="682.0"/>
        <n v="996.0"/>
        <n v="397.0"/>
        <n v="383.0"/>
        <n v="497.0"/>
        <n v="884.0"/>
        <n v="908.0"/>
        <n v="765.0"/>
        <n v="664.0"/>
        <n v="789.0"/>
        <n v="886.0"/>
        <n v="531.0"/>
        <n v="763.0"/>
        <n v="336.0"/>
        <n v="878.0"/>
        <n v="890.0"/>
        <n v="49.0"/>
        <n v="748.0"/>
        <n v="348.0"/>
        <n v="729.0"/>
        <n v="264.0"/>
        <n v="788.0"/>
        <n v="150.0"/>
        <n v="346.0"/>
        <n v="975.0"/>
        <n v="29.0"/>
        <n v="54.0"/>
        <n v="81.0"/>
        <n v="439.0"/>
        <n v="777.0"/>
        <n v="656.0"/>
        <n v="250.0"/>
        <n v="957.0"/>
        <n v="595.0"/>
        <n v="486.0"/>
        <n v="773.0"/>
        <n v="521.0"/>
        <n v="12.0"/>
        <n v="693.0"/>
        <n v="820.0"/>
        <n v="228.0"/>
        <n v="810.0"/>
        <n v="353.0"/>
        <n v="602.0"/>
        <n v="939.0"/>
        <n v="710.0"/>
        <n v="916.0"/>
        <n v="169.0"/>
        <n v="347.0"/>
        <n v="288.0"/>
        <n v="6.0"/>
        <n v="667.0"/>
        <n v="649.0"/>
        <n v="787.0"/>
        <n v="843.0"/>
        <n v="30.0"/>
        <n v="700.0"/>
        <n v="983.0"/>
        <n v="448.0"/>
        <n v="367.0"/>
        <n v="738.0"/>
        <n v="804.0"/>
        <n v="574.0"/>
        <n v="316.0"/>
        <n v="634.0"/>
        <n v="607.0"/>
        <n v="342.0"/>
        <n v="206.0"/>
        <n v="821.0"/>
        <n v="222.0"/>
        <n v="441.0"/>
        <n v="859.0"/>
        <n v="904.0"/>
        <n v="537.0"/>
        <n v="125.0"/>
        <n v="333.0"/>
        <n v="419.0"/>
        <n v="839.0"/>
        <n v="171.0"/>
        <n v="193.0"/>
        <n v="498.0"/>
        <n v="757.0"/>
        <n v="955.0"/>
        <n v="635.0"/>
        <n v="844.0"/>
        <n v="692.0"/>
        <n v="247.0"/>
        <n v="530.0"/>
        <n v="477.0"/>
        <n v="612.0"/>
        <n v="378.0"/>
        <n v="802.0"/>
        <n v="425.0"/>
        <n v="375.0"/>
        <n v="800.0"/>
        <n v="848.0"/>
        <n v="938.0"/>
        <n v="572.0"/>
        <n v="482.0"/>
        <n v="489.0"/>
        <n v="741.0"/>
        <n v="493.0"/>
        <n v="366.0"/>
        <n v="369.0"/>
        <n v="539.0"/>
        <n v="97.0"/>
        <n v="913.0"/>
        <n v="552.0"/>
        <n v="37.0"/>
        <n v="727.0"/>
        <n v="977.0"/>
        <n v="227.0"/>
        <n v="334.0"/>
        <n v="536.0"/>
        <n v="271.0"/>
        <n v="195.0"/>
        <n v="324.0"/>
        <n v="783.0"/>
        <n v="881.0"/>
        <n v="807.0"/>
        <n v="865.0"/>
        <n v="987.0"/>
        <n v="294.0"/>
        <n v="501.0"/>
        <n v="746.0"/>
        <n v="290.0"/>
        <n v="423.0"/>
        <n v="638.0"/>
        <n v="223.0"/>
        <n v="927.0"/>
        <n v="551.0"/>
        <n v="985.0"/>
        <n v="684.0"/>
        <n v="895.0"/>
        <n v="92.0"/>
        <n v="172.0"/>
        <n v="799.0"/>
        <n v="652.0"/>
        <n v="643.0"/>
        <n v="735.0"/>
        <n v="88.0"/>
        <n v="699.0"/>
        <n v="204.0"/>
        <n v="231.0"/>
        <n v="832.0"/>
        <n v="393.0"/>
        <n v="186.0"/>
        <n v="133.0"/>
        <n v="599.0"/>
        <n v="677.0"/>
        <n v="259.0"/>
        <n v="60.0"/>
        <n v="310.0"/>
        <n v="654.0"/>
        <n v="177.0"/>
        <n v="266.0"/>
        <n v="836.0"/>
        <n v="910.0"/>
        <n v="545.0"/>
        <n v="80.0"/>
        <n v="737.0"/>
        <n v="102.0"/>
        <n v="232.0"/>
        <n v="434.0"/>
        <n v="322.0"/>
        <n v="568.0"/>
        <n v="841.0"/>
        <n v="880.0"/>
        <n v="51.0"/>
        <n v="148.0"/>
        <n v="208.0"/>
        <n v="681.0"/>
        <n v="573.0"/>
        <n v="475.0"/>
        <n v="300.0"/>
        <n v="564.0"/>
        <n v="782.0"/>
        <n v="429.0"/>
        <n v="749.0"/>
        <n v="502.0"/>
        <n v="717.0"/>
        <n v="960.0"/>
        <n v="940.0"/>
        <n v="124.0"/>
        <n v="986.0"/>
        <n v="68.0"/>
        <n v="396.0"/>
        <n v="507.0"/>
        <n v="390.0"/>
        <n v="742.0"/>
        <n v="650.0"/>
        <n v="263.0"/>
        <n v="577.0"/>
        <n v="761.0"/>
        <n v="165.0"/>
        <n v="608.0"/>
        <n v="320.0"/>
        <n v="65.0"/>
        <n v="19.0"/>
        <n v="989.0"/>
        <n v="138.0"/>
        <n v="341.0"/>
        <n v="454.0"/>
        <n v="57.0"/>
        <n v="359.0"/>
        <n v="226.0"/>
        <n v="519.0"/>
        <n v="101.0"/>
        <n v="759.0"/>
        <n v="732.0"/>
        <n v="883.0"/>
        <n v="142.0"/>
        <n v="194.0"/>
        <n v="239.0"/>
        <n v="283.0"/>
        <n v="767.0"/>
        <n v="532.0"/>
        <n v="28.0"/>
        <n v="697.0"/>
        <n v="611.0"/>
        <n v="559.0"/>
        <n v="619.0"/>
        <n v="856.0"/>
        <n v="974.0"/>
        <n v="636.0"/>
        <n v="849.0"/>
        <n v="395.0"/>
        <n v="438.0"/>
        <n v="626.0"/>
        <n v="855.0"/>
        <n v="455.0"/>
        <n v="357.0"/>
        <n v="919.0"/>
        <n v="64.0"/>
        <n v="234.0"/>
        <n v="655.0"/>
        <n v="166.0"/>
        <n v="46.0"/>
        <n v="340.0"/>
        <n v="668.0"/>
        <n v="891.0"/>
        <n v="267.0"/>
        <n v="639.0"/>
        <n v="981.0"/>
        <n v="345.0"/>
        <n v="585.0"/>
        <n v="409.0"/>
        <n v="796.0"/>
        <n v="492.0"/>
        <n v="541.0"/>
        <n v="31.0"/>
        <n v="721.0"/>
        <n v="851.0"/>
        <n v="168.0"/>
        <n v="295.0"/>
        <n v="284.0"/>
        <n v="53.0"/>
      </sharedItems>
    </cacheField>
    <cacheField name="Unit Price" numFmtId="0">
      <sharedItems containsSemiMixedTypes="0" containsString="0" containsNumber="1">
        <n v="154.07"/>
        <n v="199.88"/>
        <n v="193.56"/>
        <n v="194.4"/>
        <n v="143.04"/>
        <n v="147.88"/>
        <n v="244.76"/>
        <n v="73.3"/>
        <n v="182.22"/>
        <n v="187.39"/>
        <n v="41.05"/>
        <n v="150.95"/>
        <n v="199.62"/>
        <n v="57.3"/>
        <n v="217.73"/>
        <n v="239.39"/>
        <n v="204.59"/>
        <n v="31.16"/>
        <n v="6.9"/>
        <n v="13.64"/>
        <n v="142.52"/>
        <n v="8.56"/>
        <n v="87.08"/>
        <n v="98.76"/>
        <n v="14.04"/>
        <n v="230.37"/>
        <n v="184.96"/>
        <n v="92.0"/>
        <n v="70.88"/>
        <n v="34.61"/>
        <n v="134.77"/>
        <n v="118.58"/>
        <n v="244.31"/>
        <n v="167.1"/>
        <n v="64.35"/>
        <n v="224.74"/>
        <n v="39.23"/>
        <n v="222.45"/>
        <n v="14.01"/>
        <n v="120.93"/>
        <n v="233.62"/>
        <n v="145.52"/>
        <n v="23.29"/>
        <n v="70.09"/>
        <n v="47.43"/>
        <n v="211.84"/>
        <n v="210.51"/>
        <n v="66.45"/>
        <n v="183.67"/>
        <n v="212.47"/>
        <n v="111.64"/>
        <n v="98.6"/>
        <n v="36.94"/>
        <n v="173.42"/>
        <n v="72.49"/>
        <n v="65.46"/>
        <n v="20.26"/>
        <n v="34.95"/>
        <n v="30.52"/>
        <n v="175.45"/>
        <n v="137.68"/>
        <n v="162.59"/>
        <n v="240.08"/>
        <n v="233.38"/>
        <n v="165.03"/>
        <n v="34.37"/>
        <n v="172.64"/>
        <n v="36.24"/>
        <n v="185.44"/>
        <n v="7.4"/>
        <n v="201.33"/>
        <n v="154.16"/>
        <n v="75.41"/>
        <n v="242.03"/>
        <n v="209.41"/>
        <n v="183.58"/>
        <n v="74.85"/>
        <n v="4.63"/>
        <n v="187.38"/>
        <n v="140.38"/>
        <n v="154.65"/>
        <n v="1.03"/>
        <n v="106.1"/>
        <n v="162.36"/>
        <n v="164.6"/>
        <n v="150.51"/>
        <n v="190.56"/>
        <n v="162.77"/>
        <n v="152.94"/>
        <n v="148.91"/>
        <n v="107.68"/>
        <n v="1.51"/>
        <n v="224.08"/>
        <n v="109.18"/>
        <n v="183.03"/>
        <n v="211.27"/>
        <n v="60.18"/>
        <n v="16.41"/>
        <n v="46.61"/>
        <n v="70.21"/>
        <n v="143.91"/>
        <n v="74.37"/>
        <n v="3.53"/>
        <n v="238.62"/>
        <n v="189.55"/>
        <n v="133.25"/>
        <n v="95.76"/>
        <n v="93.94"/>
        <n v="248.71"/>
        <n v="184.84"/>
        <n v="189.35"/>
        <n v="209.56"/>
        <n v="127.46"/>
        <n v="18.69"/>
        <n v="170.16"/>
        <n v="131.74"/>
        <n v="84.57"/>
        <n v="103.4"/>
        <n v="79.14"/>
        <n v="23.21"/>
        <n v="172.22"/>
        <n v="222.03"/>
        <n v="127.37"/>
        <n v="97.92"/>
        <n v="97.97"/>
        <n v="113.04"/>
        <n v="246.7"/>
        <n v="219.89"/>
        <n v="185.79"/>
        <n v="235.32"/>
        <n v="94.86"/>
        <n v="2.5"/>
        <n v="240.75"/>
        <n v="47.59"/>
        <n v="3.28"/>
        <n v="31.44"/>
        <n v="149.22"/>
        <n v="155.63"/>
        <n v="163.14"/>
        <n v="128.66"/>
        <n v="110.88"/>
        <n v="217.49"/>
        <n v="229.17"/>
        <n v="200.65"/>
        <n v="60.85"/>
        <n v="14.12"/>
        <n v="98.26"/>
        <n v="89.16"/>
        <n v="7.52"/>
        <n v="4.94"/>
        <n v="107.23"/>
        <n v="130.52"/>
        <n v="174.82"/>
        <n v="148.69"/>
        <n v="85.66"/>
        <n v="146.31"/>
        <n v="3.52"/>
        <n v="39.53"/>
        <n v="238.39"/>
        <n v="28.98"/>
        <n v="189.47"/>
        <n v="160.7"/>
        <n v="150.01"/>
        <n v="99.19"/>
        <n v="233.72"/>
        <n v="150.09"/>
        <n v="121.0"/>
        <n v="74.44"/>
        <n v="246.44"/>
        <n v="206.39"/>
        <n v="223.98"/>
        <n v="118.39"/>
        <n v="44.58"/>
        <n v="108.8"/>
        <n v="218.62"/>
        <n v="115.55"/>
        <n v="142.66"/>
        <n v="112.59"/>
        <n v="91.51"/>
        <n v="37.6"/>
        <n v="44.19"/>
        <n v="200.8"/>
        <n v="134.47"/>
        <n v="238.55"/>
        <n v="115.89"/>
        <n v="120.72"/>
        <n v="249.05"/>
        <n v="208.97"/>
        <n v="163.51"/>
        <n v="118.62"/>
        <n v="7.9"/>
        <n v="138.67"/>
        <n v="115.78"/>
        <n v="149.2"/>
        <n v="205.55"/>
        <n v="23.7"/>
        <n v="52.88"/>
        <n v="235.43"/>
        <n v="104.38"/>
        <n v="72.22"/>
        <n v="102.85"/>
        <n v="76.04"/>
        <n v="21.91"/>
        <n v="204.23"/>
        <n v="99.45"/>
        <n v="171.17"/>
        <n v="99.06"/>
        <n v="69.84"/>
        <n v="230.44"/>
        <n v="35.29"/>
        <n v="41.73"/>
        <n v="174.63"/>
        <n v="127.31"/>
        <n v="137.49"/>
        <n v="216.4"/>
        <n v="148.56"/>
        <n v="84.29"/>
        <n v="104.83"/>
        <n v="207.54"/>
        <n v="244.08"/>
        <n v="27.63"/>
        <n v="89.52"/>
        <n v="5.34"/>
        <n v="171.72"/>
        <n v="194.3"/>
        <n v="79.45"/>
        <n v="151.72"/>
        <n v="9.77"/>
        <n v="217.35"/>
        <n v="7.56"/>
        <n v="32.92"/>
        <n v="79.87"/>
        <n v="174.2"/>
        <n v="134.6"/>
        <n v="114.74"/>
        <n v="36.26"/>
        <n v="172.66"/>
        <n v="101.66"/>
        <n v="29.43"/>
        <n v="26.29"/>
        <n v="81.08"/>
        <n v="62.78"/>
        <n v="211.87"/>
        <n v="146.76"/>
        <n v="135.99"/>
        <n v="134.41"/>
        <n v="10.31"/>
        <n v="18.34"/>
        <n v="69.49"/>
        <n v="45.94"/>
        <n v="121.97"/>
        <n v="197.96"/>
        <n v="226.01"/>
        <n v="95.79"/>
        <n v="158.28"/>
        <n v="149.66"/>
        <n v="90.77"/>
        <n v="238.29"/>
        <n v="233.91"/>
        <n v="10.8"/>
        <n v="98.73"/>
        <n v="155.81"/>
        <n v="3.59"/>
        <n v="31.18"/>
        <n v="191.02"/>
        <n v="233.17"/>
        <n v="221.14"/>
        <n v="154.72"/>
        <n v="116.06"/>
        <n v="132.2"/>
        <n v="12.62"/>
        <n v="103.67"/>
        <n v="109.88"/>
        <n v="113.81"/>
        <n v="48.98"/>
        <n v="56.09"/>
        <n v="61.66"/>
        <n v="205.01"/>
        <n v="96.15"/>
        <n v="54.89"/>
        <n v="172.87"/>
        <n v="81.84"/>
        <n v="22.49"/>
        <n v="86.87"/>
        <n v="21.32"/>
        <n v="186.87"/>
        <n v="137.54"/>
        <n v="238.21"/>
        <n v="16.24"/>
        <n v="130.23"/>
        <n v="167.28"/>
        <n v="242.53"/>
        <n v="217.87"/>
        <n v="221.68"/>
        <n v="148.93"/>
        <n v="41.07"/>
        <n v="169.16"/>
        <n v="99.95"/>
        <n v="91.91"/>
        <n v="67.74"/>
        <n v="61.45"/>
        <n v="137.1"/>
        <n v="63.51"/>
        <n v="140.69"/>
        <n v="45.55"/>
        <n v="237.01"/>
        <n v="60.69"/>
        <n v="1.64"/>
        <n v="132.56"/>
        <n v="234.37"/>
        <n v="179.19"/>
        <n v="152.02"/>
        <n v="238.75"/>
        <n v="242.58"/>
        <n v="190.66"/>
        <n v="80.05"/>
        <n v="25.07"/>
        <n v="161.2"/>
        <n v="92.03"/>
        <n v="192.88"/>
        <n v="10.37"/>
        <n v="194.67"/>
        <n v="237.06"/>
        <n v="110.71"/>
        <n v="119.19"/>
        <n v="199.2"/>
        <n v="184.72"/>
        <n v="239.12"/>
        <n v="61.12"/>
        <n v="213.32"/>
        <n v="38.48"/>
        <n v="235.15"/>
        <n v="145.41"/>
        <n v="110.04"/>
        <n v="100.84"/>
        <n v="76.76"/>
        <n v="224.95"/>
        <n v="19.45"/>
        <n v="193.14"/>
        <n v="28.2"/>
        <n v="100.53"/>
        <n v="148.79"/>
        <n v="95.68"/>
        <n v="247.61"/>
        <n v="159.76"/>
        <n v="128.44"/>
        <n v="20.79"/>
        <n v="30.69"/>
        <n v="188.98"/>
        <n v="205.46"/>
        <n v="226.13"/>
        <n v="26.68"/>
        <n v="181.94"/>
        <n v="164.31"/>
        <n v="162.03"/>
        <n v="179.02"/>
        <n v="144.41"/>
        <n v="95.32"/>
        <n v="124.42"/>
        <n v="60.02"/>
        <n v="241.09"/>
        <n v="80.75"/>
        <n v="112.6"/>
        <n v="184.14"/>
        <n v="123.15"/>
        <n v="134.22"/>
        <n v="58.07"/>
        <n v="32.17"/>
        <n v="151.74"/>
        <n v="206.43"/>
        <n v="96.99"/>
        <n v="135.76"/>
        <n v="46.34"/>
        <n v="27.59"/>
        <n v="26.0"/>
        <n v="163.37"/>
        <n v="188.7"/>
        <n v="236.13"/>
        <n v="162.5"/>
        <n v="42.77"/>
        <n v="75.63"/>
        <n v="57.86"/>
        <n v="89.25"/>
        <n v="224.94"/>
        <n v="201.99"/>
        <n v="111.15"/>
        <n v="248.52"/>
        <n v="204.06"/>
        <n v="180.15"/>
        <n v="83.14"/>
        <n v="244.38"/>
        <n v="43.31"/>
        <n v="132.89"/>
        <n v="100.27"/>
        <n v="231.62"/>
        <n v="153.35"/>
        <n v="26.55"/>
        <n v="108.17"/>
        <n v="56.1"/>
        <n v="122.52"/>
        <n v="238.61"/>
        <n v="241.13"/>
        <n v="222.15"/>
        <n v="178.84"/>
        <n v="244.52"/>
        <n v="103.46"/>
        <n v="63.43"/>
        <n v="198.36"/>
        <n v="86.98"/>
        <n v="122.12"/>
        <n v="162.15"/>
        <n v="53.35"/>
        <n v="215.48"/>
        <n v="241.51"/>
        <n v="34.8"/>
        <n v="193.41"/>
        <n v="86.62"/>
        <n v="139.02"/>
        <n v="229.45"/>
        <n v="144.03"/>
        <n v="132.01"/>
        <n v="218.5"/>
        <n v="134.05"/>
        <n v="220.33"/>
        <n v="205.94"/>
        <n v="187.73"/>
        <n v="230.12"/>
        <n v="74.02"/>
        <n v="63.8"/>
        <n v="246.48"/>
        <n v="202.81"/>
        <n v="161.67"/>
        <n v="40.98"/>
        <n v="32.13"/>
        <n v="155.07"/>
        <n v="210.16"/>
        <n v="50.64"/>
        <n v="147.58"/>
        <n v="29.03"/>
        <n v="39.81"/>
        <n v="215.51"/>
        <n v="3.3"/>
        <n v="164.41"/>
        <n v="228.39"/>
        <n v="34.49"/>
        <n v="228.93"/>
        <n v="108.24"/>
        <n v="153.81"/>
        <n v="154.38"/>
        <n v="0.7"/>
        <n v="194.44"/>
        <n v="131.92"/>
        <n v="134.87"/>
        <n v="69.97"/>
        <n v="159.18"/>
        <n v="66.59"/>
        <n v="237.54"/>
        <n v="41.72"/>
        <n v="2.66"/>
        <n v="96.54"/>
        <n v="177.46"/>
        <n v="59.2"/>
        <n v="184.88"/>
        <n v="86.6"/>
        <n v="62.52"/>
        <n v="67.36"/>
        <n v="73.46"/>
        <n v="118.42"/>
        <n v="182.51"/>
        <n v="28.3"/>
        <n v="72.44"/>
        <n v="172.86"/>
        <n v="189.74"/>
        <n v="198.28"/>
        <n v="240.72"/>
        <n v="130.99"/>
        <n v="72.08"/>
        <n v="7.08"/>
        <n v="188.89"/>
        <n v="108.79"/>
        <n v="198.99"/>
        <n v="93.32"/>
        <n v="114.0"/>
        <n v="165.3"/>
        <n v="103.6"/>
        <n v="151.02"/>
        <n v="65.81"/>
        <n v="91.37"/>
        <n v="101.95"/>
        <n v="242.1"/>
        <n v="33.68"/>
        <n v="99.91"/>
        <n v="96.79"/>
        <n v="223.19"/>
        <n v="14.27"/>
        <n v="51.53"/>
        <n v="62.64"/>
        <n v="50.15"/>
        <n v="58.82"/>
        <n v="14.17"/>
        <n v="98.07"/>
        <n v="75.42"/>
        <n v="206.49"/>
        <n v="57.45"/>
        <n v="240.59"/>
        <n v="164.73"/>
        <n v="65.09"/>
        <n v="210.27"/>
        <n v="226.62"/>
        <n v="216.87"/>
        <n v="225.06"/>
        <n v="152.66"/>
        <n v="4.83"/>
        <n v="243.18"/>
        <n v="69.12"/>
        <n v="201.74"/>
        <n v="238.3"/>
        <n v="227.32"/>
        <n v="196.17"/>
        <n v="158.15"/>
        <n v="85.15"/>
        <n v="243.42"/>
        <n v="20.32"/>
        <n v="51.58"/>
        <n v="88.45"/>
        <n v="158.66"/>
        <n v="226.5"/>
        <n v="120.11"/>
        <n v="162.89"/>
        <n v="212.97"/>
        <n v="117.29"/>
        <n v="125.59"/>
        <n v="121.78"/>
        <n v="65.75"/>
        <n v="168.8"/>
        <n v="81.32"/>
        <n v="0.69"/>
        <n v="101.14"/>
        <n v="230.34"/>
        <n v="130.2"/>
        <n v="69.8"/>
        <n v="146.23"/>
        <n v="156.97"/>
        <n v="117.04"/>
        <n v="27.84"/>
        <n v="54.87"/>
        <n v="237.77"/>
        <n v="8.24"/>
        <n v="13.19"/>
        <n v="118.68"/>
        <n v="10.81"/>
        <n v="137.71"/>
        <n v="206.42"/>
        <n v="236.63"/>
        <n v="10.22"/>
        <n v="36.38"/>
        <n v="57.38"/>
        <n v="192.89"/>
        <n v="219.15"/>
        <n v="222.16"/>
        <n v="229.34"/>
        <n v="81.74"/>
        <n v="89.47"/>
        <n v="141.19"/>
        <n v="9.56"/>
        <n v="107.21"/>
        <n v="219.85"/>
        <n v="164.12"/>
        <n v="146.91"/>
        <n v="35.44"/>
        <n v="168.54"/>
        <n v="58.84"/>
        <n v="48.18"/>
        <n v="203.52"/>
        <n v="93.66"/>
        <n v="236.97"/>
        <n v="41.33"/>
        <n v="214.89"/>
        <n v="63.15"/>
        <n v="216.0"/>
        <n v="208.49"/>
        <n v="215.32"/>
        <n v="123.78"/>
        <n v="128.52"/>
        <n v="163.92"/>
        <n v="196.39"/>
        <n v="22.3"/>
        <n v="95.12"/>
        <n v="233.79"/>
        <n v="173.75"/>
        <n v="84.35"/>
        <n v="21.22"/>
        <n v="116.38"/>
        <n v="110.0"/>
        <n v="77.65"/>
        <n v="26.3"/>
        <n v="59.98"/>
        <n v="77.99"/>
        <n v="248.0"/>
        <n v="134.35"/>
        <n v="238.68"/>
        <n v="178.46"/>
        <n v="237.58"/>
        <n v="66.77"/>
        <n v="66.69"/>
        <n v="178.27"/>
        <n v="96.78"/>
        <n v="160.4"/>
        <n v="152.88"/>
        <n v="56.41"/>
        <n v="196.83"/>
        <n v="237.29"/>
        <n v="203.29"/>
        <n v="237.11"/>
        <n v="91.44"/>
        <n v="195.26"/>
        <n v="79.19"/>
        <n v="162.93"/>
        <n v="96.16"/>
        <n v="204.57"/>
        <n v="124.48"/>
        <n v="213.58"/>
        <n v="165.13"/>
        <n v="103.75"/>
        <n v="227.11"/>
        <n v="110.42"/>
        <n v="58.16"/>
        <n v="17.32"/>
        <n v="45.27"/>
        <n v="57.43"/>
        <n v="58.38"/>
        <n v="216.02"/>
        <n v="134.67"/>
        <n v="205.02"/>
        <n v="111.38"/>
        <n v="94.27"/>
        <n v="21.11"/>
        <n v="111.41"/>
        <n v="209.09"/>
        <n v="163.23"/>
        <n v="206.97"/>
        <n v="249.82"/>
        <n v="18.64"/>
        <n v="119.11"/>
        <n v="33.5"/>
        <n v="235.39"/>
        <n v="249.77"/>
        <n v="21.4"/>
        <n v="243.02"/>
        <n v="237.62"/>
        <n v="169.4"/>
        <n v="0.71"/>
        <n v="155.0"/>
        <n v="1.18"/>
        <n v="218.19"/>
        <n v="13.66"/>
        <n v="122.33"/>
        <n v="215.28"/>
        <n v="134.74"/>
        <n v="185.92"/>
        <n v="207.09"/>
        <n v="169.88"/>
        <n v="139.97"/>
        <n v="38.9"/>
        <n v="83.87"/>
        <n v="195.8"/>
        <n v="229.83"/>
        <n v="71.31"/>
        <n v="124.04"/>
        <n v="89.18"/>
        <n v="158.98"/>
        <n v="18.12"/>
        <n v="234.96"/>
        <n v="44.11"/>
        <n v="93.99"/>
        <n v="102.46"/>
        <n v="158.75"/>
        <n v="128.21"/>
        <n v="105.43"/>
        <n v="48.25"/>
        <n v="224.58"/>
        <n v="224.06"/>
        <n v="189.8"/>
        <n v="182.8"/>
        <n v="137.17"/>
        <n v="64.03"/>
        <n v="93.13"/>
        <n v="138.71"/>
        <n v="70.67"/>
        <n v="200.84"/>
        <n v="249.14"/>
        <n v="91.39"/>
        <n v="218.8"/>
        <n v="242.0"/>
        <n v="197.55"/>
        <n v="137.63"/>
        <n v="32.0"/>
        <n v="134.0"/>
        <n v="185.36"/>
        <n v="119.8"/>
        <n v="82.11"/>
        <n v="169.94"/>
        <n v="166.41"/>
        <n v="245.53"/>
        <n v="27.97"/>
        <n v="145.48"/>
        <n v="99.51"/>
        <n v="206.35"/>
        <n v="5.9"/>
        <n v="207.7"/>
        <n v="170.47"/>
        <n v="80.37"/>
        <n v="193.65"/>
        <n v="217.41"/>
        <n v="31.25"/>
        <n v="190.01"/>
        <n v="80.56"/>
        <n v="114.15"/>
        <n v="162.25"/>
        <n v="81.96"/>
        <n v="31.8"/>
        <n v="149.51"/>
        <n v="161.33"/>
        <n v="18.73"/>
        <n v="202.72"/>
        <n v="152.19"/>
        <n v="189.26"/>
        <n v="29.42"/>
        <n v="209.12"/>
        <n v="111.09"/>
        <n v="82.64"/>
        <n v="227.66"/>
        <n v="219.09"/>
        <n v="30.49"/>
        <n v="234.62"/>
        <n v="86.52"/>
        <n v="126.21"/>
        <n v="218.36"/>
        <n v="231.4"/>
        <n v="189.02"/>
        <n v="152.93"/>
        <n v="240.43"/>
        <n v="241.15"/>
        <n v="139.92"/>
        <n v="142.48"/>
        <n v="130.34"/>
        <n v="109.91"/>
        <n v="82.03"/>
        <n v="170.61"/>
        <n v="214.28"/>
        <n v="108.77"/>
        <n v="57.05"/>
        <n v="205.3"/>
        <n v="16.63"/>
        <n v="201.16"/>
        <n v="90.46"/>
        <n v="200.73"/>
        <n v="15.34"/>
        <n v="234.18"/>
        <n v="92.44"/>
        <n v="57.54"/>
        <n v="139.25"/>
        <n v="99.63"/>
        <n v="144.35"/>
        <n v="105.22"/>
        <n v="175.77"/>
        <n v="127.55"/>
        <n v="13.61"/>
        <n v="234.42"/>
        <n v="230.58"/>
        <n v="128.2"/>
        <n v="171.1"/>
        <n v="58.09"/>
        <n v="56.15"/>
        <n v="139.66"/>
        <n v="106.16"/>
        <n v="48.79"/>
        <n v="205.5"/>
        <n v="147.48"/>
        <n v="71.94"/>
        <n v="72.3"/>
        <n v="57.61"/>
        <n v="171.8"/>
        <n v="18.51"/>
        <n v="79.02"/>
        <n v="248.43"/>
        <n v="221.56"/>
        <n v="12.95"/>
        <n v="213.97"/>
        <n v="213.11"/>
        <n v="213.82"/>
        <n v="153.24"/>
        <n v="17.24"/>
        <n v="238.52"/>
        <n v="143.28"/>
        <n v="159.66"/>
        <n v="189.56"/>
        <n v="98.08"/>
        <n v="1.76"/>
        <n v="47.56"/>
        <n v="78.26"/>
        <n v="27.75"/>
        <n v="57.92"/>
        <n v="61.31"/>
        <n v="161.29"/>
        <n v="109.54"/>
        <n v="190.69"/>
        <n v="36.28"/>
        <n v="99.02"/>
        <n v="61.13"/>
        <n v="233.49"/>
        <n v="157.39"/>
        <n v="167.23"/>
        <n v="45.78"/>
        <n v="169.28"/>
        <n v="18.76"/>
        <n v="36.78"/>
        <n v="215.66"/>
        <n v="116.36"/>
        <n v="165.74"/>
        <n v="99.05"/>
        <n v="149.73"/>
        <n v="4.44"/>
        <n v="203.06"/>
        <n v="200.78"/>
        <n v="65.23"/>
        <n v="107.6"/>
        <n v="179.65"/>
        <n v="20.02"/>
        <n v="165.42"/>
        <n v="52.25"/>
        <n v="90.31"/>
        <n v="211.49"/>
        <n v="232.9"/>
        <n v="112.82"/>
        <n v="161.17"/>
        <n v="109.13"/>
        <n v="199.19"/>
        <n v="213.09"/>
        <n v="43.48"/>
        <n v="131.73"/>
        <n v="126.62"/>
        <n v="76.32"/>
        <n v="150.21"/>
        <n v="51.02"/>
        <n v="228.28"/>
        <n v="143.39"/>
        <n v="66.85"/>
        <n v="145.81"/>
        <n v="246.61"/>
        <n v="45.96"/>
        <n v="97.82"/>
        <n v="2.6"/>
        <n v="145.86"/>
        <n v="112.72"/>
        <n v="194.17"/>
        <n v="62.46"/>
        <n v="175.88"/>
        <n v="116.23"/>
        <n v="163.34"/>
        <n v="45.79"/>
        <n v="76.83"/>
        <n v="108.54"/>
        <n v="220.04"/>
        <n v="46.93"/>
        <n v="247.66"/>
        <n v="150.83"/>
        <n v="46.92"/>
        <n v="243.48"/>
        <n v="30.75"/>
        <n v="180.61"/>
        <n v="111.13"/>
        <n v="112.75"/>
        <n v="236.31"/>
        <n v="18.93"/>
        <n v="16.43"/>
        <n v="225.92"/>
        <n v="39.83"/>
        <n v="4.96"/>
        <n v="9.95"/>
        <n v="137.11"/>
        <n v="56.97"/>
        <n v="197.06"/>
        <n v="136.59"/>
        <n v="143.71"/>
        <n v="245.58"/>
        <n v="109.64"/>
        <n v="37.64"/>
        <n v="68.9"/>
        <n v="191.89"/>
        <n v="168.68"/>
        <n v="221.82"/>
        <n v="38.38"/>
        <n v="133.3"/>
        <n v="136.68"/>
        <n v="245.73"/>
        <n v="86.36"/>
        <n v="103.87"/>
        <n v="205.8"/>
        <n v="161.6"/>
        <n v="238.65"/>
        <n v="227.12"/>
        <n v="115.07"/>
        <n v="235.19"/>
        <n v="206.57"/>
        <n v="23.83"/>
        <n v="45.67"/>
        <n v="236.02"/>
        <n v="152.61"/>
        <n v="123.2"/>
        <n v="77.54"/>
        <n v="109.16"/>
        <n v="76.8"/>
        <n v="136.93"/>
        <n v="44.53"/>
        <n v="220.39"/>
        <n v="191.58"/>
        <n v="148.41"/>
        <n v="242.86"/>
        <n v="142.06"/>
        <n v="175.04"/>
        <n v="159.8"/>
        <n v="241.9"/>
        <n v="146.78"/>
        <n v="166.23"/>
        <n v="6.32"/>
        <n v="75.16"/>
        <n v="229.76"/>
        <n v="113.9"/>
        <n v="121.8"/>
        <n v="133.72"/>
        <n v="99.83"/>
        <n v="181.17"/>
        <n v="48.91"/>
        <n v="179.1"/>
        <n v="212.54"/>
        <n v="54.39"/>
        <n v="119.49"/>
        <n v="12.13"/>
        <n v="177.93"/>
        <n v="188.87"/>
        <n v="83.51"/>
        <n v="149.63"/>
        <n v="71.08"/>
        <n v="6.68"/>
        <n v="58.54"/>
        <n v="63.73"/>
        <n v="159.67"/>
        <n v="244.4"/>
        <n v="82.56"/>
        <n v="31.59"/>
        <n v="43.59"/>
        <n v="206.56"/>
        <n v="109.93"/>
        <n v="37.34"/>
        <n v="219.49"/>
        <n v="42.35"/>
        <n v="180.51"/>
        <n v="56.11"/>
        <n v="148.8"/>
        <n v="106.66"/>
        <n v="38.99"/>
        <n v="40.66"/>
        <n v="174.09"/>
        <n v="137.38"/>
        <n v="99.01"/>
        <n v="1.98"/>
        <n v="41.44"/>
        <n v="200.35"/>
        <n v="98.54"/>
        <n v="159.98"/>
        <n v="40.54"/>
      </sharedItems>
    </cacheField>
    <cacheField name="Total Price" numFmtId="2">
      <sharedItems containsSemiMixedTypes="0" containsString="0" containsNumber="1">
        <n v="6832.85"/>
        <n v="555.01"/>
        <n v="7378.14"/>
        <n v="9260.58"/>
        <n v="5203.43"/>
        <n v="3966.17"/>
        <n v="3936.07"/>
        <n v="2737.93"/>
        <n v="9671.35"/>
        <n v="556.58"/>
        <n v="9749.34"/>
        <n v="693.62"/>
        <n v="5302.58"/>
        <n v="5340.47"/>
        <n v="7139.85"/>
        <n v="7964.01"/>
        <n v="1340.45"/>
        <n v="6659.61"/>
        <n v="3704.91"/>
        <n v="7472.71"/>
        <n v="267.03"/>
        <n v="8712.48"/>
        <n v="2355.18"/>
        <n v="3704.18"/>
        <n v="4783.86"/>
        <n v="9685.66"/>
        <n v="3302.72"/>
        <n v="2198.03"/>
        <n v="2946.6"/>
        <n v="8426.33"/>
        <n v="9890.17"/>
        <n v="3730.32"/>
        <n v="5859.89"/>
        <n v="3837.62"/>
        <n v="1532.36"/>
        <n v="4099.98"/>
        <n v="3913.15"/>
        <n v="8271.93"/>
        <n v="9226.24"/>
        <n v="4333.59"/>
        <n v="2974.52"/>
        <n v="7411.17"/>
        <n v="6761.68"/>
        <n v="1898.31"/>
        <n v="4293.84"/>
        <n v="6506.59"/>
        <n v="5783.01"/>
        <n v="3606.73"/>
        <n v="9880.41"/>
        <n v="2293.35"/>
        <n v="7242.81"/>
        <n v="7933.07"/>
        <n v="8714.85"/>
        <n v="453.3"/>
        <n v="846.39"/>
        <n v="9046.05"/>
        <n v="9943.6"/>
        <n v="7240.4"/>
        <n v="3998.87"/>
        <n v="7252.66"/>
        <n v="4791.44"/>
        <n v="4910.26"/>
        <n v="5265.58"/>
        <n v="2882.65"/>
        <n v="1710.37"/>
        <n v="6240.85"/>
        <n v="3068.98"/>
        <n v="7522.2"/>
        <n v="5221.47"/>
        <n v="9118.84"/>
        <n v="107.03"/>
        <n v="8546.11"/>
        <n v="4971.11"/>
        <n v="7613.24"/>
        <n v="7977.29"/>
        <n v="1972.28"/>
        <n v="8253.62"/>
        <n v="3406.02"/>
        <n v="7610.1"/>
        <n v="29.51"/>
        <n v="901.7"/>
        <n v="8615.79"/>
        <n v="1127.8"/>
        <n v="130.06"/>
        <n v="9667.56"/>
        <n v="2155.36"/>
        <n v="8970.03"/>
        <n v="3550.12"/>
        <n v="7539.35"/>
        <n v="5375.69"/>
        <n v="2900.04"/>
        <n v="600.32"/>
        <n v="4086.05"/>
        <n v="334.71"/>
        <n v="3600.04"/>
        <n v="2502.18"/>
        <n v="4937.79"/>
        <n v="6768.79"/>
        <n v="8154.93"/>
        <n v="9415.1"/>
        <n v="5610.52"/>
        <n v="5210.75"/>
        <n v="2988.3"/>
        <n v="6152.76"/>
        <n v="8610.06"/>
        <n v="769.78"/>
        <n v="2895.28"/>
        <n v="9357.59"/>
        <n v="906.97"/>
        <n v="7406.48"/>
        <n v="3471.57"/>
        <n v="5701.31"/>
        <n v="2745.65"/>
        <n v="6483.6"/>
        <n v="87.35"/>
        <n v="2619.55"/>
        <n v="8824.54"/>
        <n v="9734.93"/>
        <n v="6282.04"/>
        <n v="4191.44"/>
        <n v="8028.08"/>
        <n v="3624.17"/>
        <n v="7713.33"/>
        <n v="2010.28"/>
        <n v="7767.46"/>
        <n v="8980.54"/>
        <n v="609.31"/>
        <n v="4140.78"/>
        <n v="2745.14"/>
        <n v="6447.9"/>
        <n v="3652.57"/>
        <n v="4527.1"/>
        <n v="9558.67"/>
        <n v="8181.01"/>
        <n v="993.59"/>
        <n v="2934.84"/>
        <n v="6426.6"/>
        <n v="5377.9"/>
        <n v="5367.8"/>
        <n v="675.98"/>
        <n v="839.46"/>
        <n v="1148.89"/>
        <n v="2352.47"/>
        <n v="310.03"/>
        <n v="5941.5"/>
        <n v="6994.62"/>
        <n v="3252.23"/>
        <n v="6270.47"/>
        <n v="669.21"/>
        <n v="2303.66"/>
        <n v="2037.95"/>
        <n v="3291.13"/>
        <n v="5488.16"/>
        <n v="918.72"/>
        <n v="1310.11"/>
        <n v="7458.78"/>
        <n v="2655.01"/>
        <n v="4227.53"/>
        <n v="3429.84"/>
        <n v="9523.59"/>
        <n v="7926.38"/>
        <n v="2449.77"/>
        <n v="6485.78"/>
        <n v="9092.54"/>
        <n v="1430.24"/>
        <n v="9712.4"/>
        <n v="8850.61"/>
        <n v="3280.87"/>
        <n v="5789.53"/>
        <n v="5736.51"/>
        <n v="9068.36"/>
        <n v="8153.95"/>
        <n v="8648.41"/>
        <n v="66.19"/>
        <n v="150.07"/>
        <n v="2852.18"/>
        <n v="3980.28"/>
        <n v="3765.61"/>
        <n v="2928.31"/>
        <n v="6018.42"/>
        <n v="2079.52"/>
        <n v="1054.68"/>
        <n v="5193.46"/>
        <n v="6778.32"/>
        <n v="9662.83"/>
        <n v="478.56"/>
        <n v="5119.77"/>
        <n v="7696.86"/>
        <n v="1383.68"/>
        <n v="5764.68"/>
        <n v="6018.64"/>
        <n v="4531.51"/>
        <n v="1559.65"/>
        <n v="9596.51"/>
        <n v="2889.33"/>
        <n v="5081.05"/>
        <n v="4893.89"/>
        <n v="219.8"/>
        <n v="986.93"/>
        <n v="7541.63"/>
        <n v="578.38"/>
        <n v="6321.86"/>
        <n v="4585.39"/>
        <n v="5826.71"/>
        <n v="7647.53"/>
        <n v="4627.23"/>
        <n v="3004.51"/>
        <n v="8822.72"/>
        <n v="9749.1"/>
        <n v="9692.67"/>
        <n v="3326.83"/>
        <n v="5896.64"/>
        <n v="9931.62"/>
        <n v="2286.48"/>
        <n v="6304.63"/>
        <n v="4974.42"/>
        <n v="5674.86"/>
        <n v="4345.33"/>
        <n v="9593.74"/>
        <n v="7583.72"/>
        <n v="7878.89"/>
        <n v="7585.31"/>
        <n v="3462.74"/>
        <n v="5453.02"/>
        <n v="4865.83"/>
        <n v="8231.05"/>
        <n v="2204.89"/>
        <n v="9051.18"/>
        <n v="4835.74"/>
        <n v="7334.76"/>
        <n v="5470.02"/>
        <n v="1961.33"/>
        <n v="6899.44"/>
        <n v="1386.32"/>
        <n v="6919.39"/>
        <n v="2544.26"/>
        <n v="4348.3"/>
        <n v="9064.71"/>
        <n v="970.95"/>
        <n v="8848.5"/>
        <n v="4991.21"/>
        <n v="2313.19"/>
        <n v="3919.32"/>
        <n v="1150.87"/>
        <n v="568.92"/>
        <n v="6797.7"/>
        <n v="2841.12"/>
        <n v="2549.75"/>
        <n v="5675.29"/>
        <n v="3368.27"/>
        <n v="6214.49"/>
        <n v="5759.42"/>
        <n v="3467.31"/>
        <n v="3613.72"/>
        <n v="3135.55"/>
        <n v="7520.57"/>
        <n v="1818.88"/>
        <n v="3189.0"/>
        <n v="515.87"/>
        <n v="1357.18"/>
        <n v="7242.18"/>
        <n v="5353.77"/>
        <n v="1336.54"/>
        <n v="2596.66"/>
        <n v="1322.79"/>
        <n v="2427.4"/>
        <n v="709.94"/>
        <n v="9587.16"/>
        <n v="6986.31"/>
        <n v="8800.98"/>
        <n v="2733.85"/>
        <n v="3252.79"/>
        <n v="2001.84"/>
        <n v="8633.71"/>
        <n v="7181.23"/>
        <n v="4545.54"/>
        <n v="8416.79"/>
        <n v="6938.79"/>
        <n v="1395.78"/>
        <n v="3578.61"/>
        <n v="6129.38"/>
        <n v="7306.69"/>
        <n v="632.3"/>
        <n v="5232.56"/>
        <n v="1114.68"/>
        <n v="2084.07"/>
        <n v="5821.47"/>
        <n v="9268.62"/>
        <n v="2079.08"/>
        <n v="3102.26"/>
        <n v="1749.11"/>
        <n v="2925.01"/>
        <n v="9822.73"/>
        <n v="5297.23"/>
        <n v="9034.1"/>
        <n v="2936.92"/>
        <n v="5849.39"/>
        <n v="8913.85"/>
        <n v="4719.07"/>
        <n v="372.31"/>
        <n v="8530.47"/>
        <n v="2925.67"/>
        <n v="6243.4"/>
        <n v="1934.35"/>
        <n v="907.35"/>
        <n v="1295.81"/>
        <n v="7108.39"/>
        <n v="5809.66"/>
        <n v="4877.67"/>
        <n v="8399.77"/>
        <n v="3641.17"/>
        <n v="407.42"/>
        <n v="2537.37"/>
        <n v="7065.19"/>
        <n v="7373.23"/>
        <n v="4042.22"/>
        <n v="5798.95"/>
        <n v="2979.77"/>
        <n v="4667.18"/>
        <n v="4354.43"/>
        <n v="6583.8"/>
        <n v="8600.97"/>
        <n v="2833.02"/>
        <n v="3029.82"/>
        <n v="3495.84"/>
        <n v="362.36"/>
        <n v="5149.1"/>
        <n v="8989.98"/>
        <n v="8950.0"/>
        <n v="7003.0"/>
        <n v="8271.38"/>
        <n v="9370.4"/>
        <n v="1908.08"/>
        <n v="2192.31"/>
        <n v="7905.93"/>
        <n v="463.56"/>
        <n v="5093.21"/>
        <n v="2705.11"/>
        <n v="8227.73"/>
        <n v="1548.08"/>
        <n v="8060.33"/>
        <n v="1407.01"/>
        <n v="8989.52"/>
        <n v="5616.26"/>
        <n v="8644.78"/>
        <n v="1570.56"/>
        <n v="7018.04"/>
        <n v="5526.2"/>
        <n v="8188.11"/>
        <n v="4206.34"/>
        <n v="162.09"/>
        <n v="8720.44"/>
        <n v="6941.34"/>
        <n v="8340.08"/>
        <n v="4799.14"/>
        <n v="2285.01"/>
        <n v="3382.11"/>
        <n v="4712.74"/>
        <n v="3774.88"/>
        <n v="816.29"/>
        <n v="2010.34"/>
        <n v="3727.47"/>
        <n v="3613.93"/>
        <n v="362.17"/>
        <n v="1043.61"/>
        <n v="2231.06"/>
        <n v="5980.37"/>
        <n v="7173.79"/>
        <n v="5622.47"/>
        <n v="6175.25"/>
        <n v="7409.71"/>
        <n v="1017.63"/>
        <n v="3922.16"/>
        <n v="4419.31"/>
        <n v="1754.8"/>
        <n v="3173.78"/>
        <n v="3852.56"/>
        <n v="8980.35"/>
        <n v="995.86"/>
        <n v="9963.9"/>
        <n v="8891.62"/>
        <n v="3839.34"/>
        <n v="7700.18"/>
        <n v="5673.83"/>
        <n v="9378.66"/>
        <n v="2623.46"/>
        <n v="1854.25"/>
        <n v="592.08"/>
        <n v="4746.63"/>
        <n v="2135.67"/>
        <n v="6537.62"/>
        <n v="1907.84"/>
        <n v="245.86"/>
        <n v="3785.58"/>
        <n v="829.14"/>
        <n v="3057.57"/>
        <n v="4988.62"/>
        <n v="5211.89"/>
        <n v="6709.77"/>
        <n v="435.67"/>
        <n v="945.96"/>
        <n v="430.4"/>
        <n v="7159.4"/>
        <n v="1327.75"/>
        <n v="3524.24"/>
        <n v="3584.46"/>
        <n v="2553.15"/>
        <n v="3703.93"/>
        <n v="5872.29"/>
        <n v="3531.31"/>
        <n v="4391.98"/>
        <n v="7092.59"/>
        <n v="4641.83"/>
        <n v="4691.57"/>
        <n v="9065.38"/>
        <n v="4587.18"/>
        <n v="4887.35"/>
        <n v="3223.79"/>
        <n v="9899.5"/>
        <n v="9165.38"/>
        <n v="9323.41"/>
        <n v="4713.2"/>
        <n v="4023.59"/>
        <n v="7172.15"/>
        <n v="2420.32"/>
        <n v="9146.0"/>
        <n v="26.67"/>
        <n v="509.25"/>
        <n v="1996.34"/>
        <n v="5388.41"/>
        <n v="8125.61"/>
        <n v="9423.5"/>
        <n v="2463.02"/>
        <n v="8674.75"/>
        <n v="7836.13"/>
        <n v="6426.11"/>
        <n v="4386.34"/>
        <n v="9160.23"/>
        <n v="5210.43"/>
        <n v="4818.42"/>
        <n v="5160.72"/>
        <n v="6019.16"/>
        <n v="8015.05"/>
        <n v="2580.93"/>
        <n v="6328.56"/>
        <n v="6824.64"/>
        <n v="4562.07"/>
        <n v="4926.59"/>
        <n v="2671.54"/>
        <n v="1654.3"/>
        <n v="9962.5"/>
        <n v="7637.19"/>
        <n v="1866.2"/>
        <n v="8844.92"/>
        <n v="6351.66"/>
        <n v="6990.09"/>
        <n v="4234.49"/>
        <n v="4882.87"/>
        <n v="5519.85"/>
        <n v="5097.39"/>
        <n v="7673.14"/>
        <n v="734.29"/>
        <n v="9018.3"/>
        <n v="3561.33"/>
        <n v="3822.94"/>
        <n v="6857.64"/>
        <n v="2445.56"/>
        <n v="7946.48"/>
        <n v="1264.7"/>
        <n v="1557.39"/>
        <n v="8624.49"/>
        <n v="33.15"/>
        <n v="4894.2"/>
        <n v="4884.9"/>
        <n v="603.61"/>
        <n v="9816.5"/>
        <n v="9955.82"/>
        <n v="2477.41"/>
        <n v="9338.17"/>
        <n v="4002.86"/>
        <n v="6023.97"/>
        <n v="1701.24"/>
        <n v="6856.5"/>
        <n v="8123.55"/>
        <n v="5979.5"/>
        <n v="8804.54"/>
        <n v="5823.48"/>
        <n v="1357.83"/>
        <n v="7251.73"/>
        <n v="3949.32"/>
        <n v="7372.0"/>
        <n v="7854.47"/>
        <n v="329.96"/>
        <n v="3093.27"/>
        <n v="9012.47"/>
        <n v="7357.83"/>
        <n v="2371.14"/>
        <n v="4281.11"/>
        <n v="9163.77"/>
        <n v="3491.03"/>
        <n v="4304.09"/>
        <n v="8815.03"/>
        <n v="5478.2"/>
        <n v="7332.34"/>
        <n v="2403.32"/>
        <n v="5303.0"/>
        <n v="9476.74"/>
        <n v="7805.98"/>
        <n v="2717.9"/>
        <n v="6059.51"/>
        <n v="5254.22"/>
        <n v="3292.89"/>
        <n v="3358.88"/>
        <n v="4007.63"/>
        <n v="9544.42"/>
        <n v="667.18"/>
        <n v="679.75"/>
        <n v="1503.42"/>
        <n v="7536.05"/>
        <n v="2165.1"/>
        <n v="98.27"/>
        <n v="3914.97"/>
        <n v="6197.61"/>
        <n v="641.0"/>
        <n v="6052.91"/>
        <n v="7374.16"/>
        <n v="9655.19"/>
        <n v="1158.29"/>
        <n v="1360.87"/>
        <n v="9498.18"/>
        <n v="729.67"/>
        <n v="6551.48"/>
        <n v="9088.46"/>
        <n v="4049.47"/>
        <n v="416.4"/>
        <n v="5249.71"/>
        <n v="9847.37"/>
        <n v="3441.42"/>
        <n v="6472.66"/>
        <n v="5411.93"/>
        <n v="9621.55"/>
        <n v="8608.02"/>
        <n v="6619.57"/>
        <n v="9267.92"/>
        <n v="3712.62"/>
        <n v="9014.27"/>
        <n v="5606.09"/>
        <n v="7652.92"/>
        <n v="5630.19"/>
        <n v="3964.41"/>
        <n v="7334.56"/>
        <n v="1191.29"/>
        <n v="2704.72"/>
        <n v="2910.9"/>
        <n v="7115.15"/>
        <n v="7187.77"/>
        <n v="9962.62"/>
        <n v="5356.12"/>
        <n v="5175.94"/>
        <n v="2006.35"/>
        <n v="7438.53"/>
        <n v="6209.78"/>
        <n v="638.18"/>
        <n v="4111.5"/>
        <n v="4056.46"/>
        <n v="8262.03"/>
        <n v="9277.53"/>
        <n v="8425.06"/>
        <n v="5192.97"/>
        <n v="4225.83"/>
        <n v="9963.6"/>
        <n v="4419.67"/>
        <n v="2367.13"/>
        <n v="1725.08"/>
        <n v="8.77"/>
        <n v="7922.33"/>
        <n v="7238.52"/>
        <n v="1305.44"/>
        <n v="4722.62"/>
        <n v="4673.61"/>
        <n v="5708.68"/>
        <n v="7881.14"/>
        <n v="4173.63"/>
        <n v="1392.05"/>
        <n v="4649.03"/>
        <n v="5151.54"/>
        <n v="8383.3"/>
        <n v="9593.29"/>
        <n v="9134.93"/>
        <n v="4494.8"/>
        <n v="7289.77"/>
        <n v="6544.63"/>
        <n v="4689.05"/>
        <n v="6776.47"/>
        <n v="3922.43"/>
        <n v="8907.0"/>
        <n v="4427.01"/>
        <n v="8967.48"/>
        <n v="315.54"/>
        <n v="8055.98"/>
        <n v="5064.37"/>
        <n v="397.32"/>
        <n v="9315.57"/>
        <n v="2692.26"/>
        <n v="3138.86"/>
        <n v="3485.16"/>
        <n v="9191.89"/>
        <n v="4487.33"/>
        <n v="3142.16"/>
        <n v="1822.88"/>
        <n v="2217.85"/>
        <n v="3325.68"/>
        <n v="5967.14"/>
        <n v="2671.5"/>
        <n v="6780.91"/>
        <n v="5763.5"/>
        <n v="5199.06"/>
        <n v="6123.6"/>
        <n v="7156.27"/>
        <n v="8505.49"/>
        <n v="6002.16"/>
        <n v="8919.93"/>
        <n v="1691.65"/>
        <n v="8040.64"/>
        <n v="6013.89"/>
        <n v="5277.66"/>
        <n v="1825.16"/>
        <n v="2865.63"/>
        <n v="6424.24"/>
        <n v="1659.47"/>
        <n v="9186.72"/>
        <n v="932.01"/>
        <n v="1498.64"/>
        <n v="1117.57"/>
        <n v="7445.43"/>
        <n v="5604.88"/>
        <n v="6380.94"/>
        <n v="2682.49"/>
        <n v="5302.43"/>
        <n v="2101.11"/>
        <n v="1450.57"/>
        <n v="6820.73"/>
        <n v="8920.96"/>
        <n v="6787.82"/>
        <n v="4348.89"/>
        <n v="7920.83"/>
        <n v="9822.79"/>
        <n v="3403.66"/>
        <n v="5804.89"/>
        <n v="1270.69"/>
        <n v="3826.73"/>
        <n v="1330.6"/>
        <n v="3404.63"/>
        <n v="1569.02"/>
        <n v="8609.06"/>
        <n v="5576.78"/>
        <n v="2846.8"/>
        <n v="7590.7"/>
        <n v="275.44"/>
        <n v="1257.08"/>
        <n v="2836.7"/>
        <n v="8199.04"/>
        <n v="4698.77"/>
        <n v="5301.76"/>
        <n v="7704.66"/>
        <n v="3410.78"/>
        <n v="4344.65"/>
        <n v="6016.81"/>
        <n v="2090.1"/>
        <n v="672.21"/>
        <n v="7370.75"/>
        <n v="1886.05"/>
        <n v="6267.8"/>
        <n v="651.59"/>
        <n v="5130.77"/>
        <n v="251.47"/>
        <n v="6102.08"/>
        <n v="9756.54"/>
        <n v="928.9"/>
        <n v="8155.41"/>
        <n v="3151.8"/>
        <n v="5792.03"/>
        <n v="1470.29"/>
        <n v="3736.41"/>
        <n v="8517.22"/>
        <n v="133.34"/>
        <n v="2972.6"/>
        <n v="1320.01"/>
        <n v="7288.21"/>
        <n v="9216.68"/>
        <n v="1524.23"/>
        <n v="3223.48"/>
        <n v="1709.18"/>
        <n v="7011.08"/>
        <n v="1537.32"/>
        <n v="9323.13"/>
        <n v="9247.91"/>
        <n v="4382.52"/>
        <n v="6653.01"/>
        <n v="9451.29"/>
        <n v="5976.31"/>
        <n v="2482.9"/>
        <n v="3588.92"/>
        <n v="4105.09"/>
        <n v="1870.7"/>
        <n v="2192.53"/>
        <n v="2141.54"/>
        <n v="5849.77"/>
        <n v="6910.08"/>
        <n v="7613.35"/>
        <n v="9763.28"/>
        <n v="7468.84"/>
        <n v="2898.08"/>
        <n v="6938.61"/>
        <n v="6035.88"/>
        <n v="9509.81"/>
        <n v="8050.36"/>
        <n v="7968.3"/>
        <n v="1109.82"/>
        <n v="5946.89"/>
        <n v="74.07"/>
        <n v="6816.95"/>
        <n v="3967.44"/>
        <n v="8682.95"/>
        <n v="7492.94"/>
        <n v="9604.6"/>
        <n v="6779.71"/>
        <n v="2284.7"/>
        <n v="6415.2"/>
        <n v="8335.21"/>
        <n v="4688.2"/>
        <n v="1887.93"/>
        <n v="5919.53"/>
        <n v="1480.7"/>
        <n v="7018.31"/>
        <n v="3678.48"/>
        <n v="4554.06"/>
        <n v="7706.73"/>
        <n v="6104.46"/>
        <n v="4560.73"/>
        <n v="7086.17"/>
        <n v="8359.53"/>
        <n v="3877.45"/>
        <n v="4759.42"/>
        <n v="280.66"/>
        <n v="8159.3"/>
        <n v="7591.25"/>
        <n v="994.78"/>
        <n v="4177.93"/>
        <n v="1679.97"/>
        <n v="5208.55"/>
        <n v="2585.78"/>
        <n v="3254.93"/>
        <n v="6227.46"/>
        <n v="794.79"/>
        <n v="3331.33"/>
        <n v="1770.23"/>
        <n v="9665.74"/>
        <n v="9002.03"/>
        <n v="2444.7"/>
        <n v="3504.79"/>
        <n v="6850.13"/>
        <n v="7430.7"/>
        <n v="9501.71"/>
        <n v="4835.5"/>
        <n v="6278.51"/>
        <n v="3124.31"/>
        <n v="7884.19"/>
        <n v="2557.98"/>
        <n v="249.2"/>
        <n v="5459.41"/>
        <n v="8441.39"/>
        <n v="7762.33"/>
        <n v="3261.49"/>
        <n v="3562.94"/>
        <n v="9218.68"/>
        <n v="3076.54"/>
        <n v="8137.11"/>
        <n v="8340.81"/>
        <n v="7689.84"/>
        <n v="1549.53"/>
        <n v="6278.7"/>
        <n v="3009.98"/>
        <n v="7585.06"/>
        <n v="6643.88"/>
        <n v="411.13"/>
        <n v="3885.03"/>
        <n v="8005.51"/>
        <n v="1637.67"/>
        <n v="5608.48"/>
        <n v="462.93"/>
        <n v="7648.64"/>
        <n v="3663.62"/>
        <n v="7508.31"/>
        <n v="2368.0"/>
        <n v="2130.81"/>
        <n v="8252.16"/>
        <n v="4797.49"/>
        <n v="8936.02"/>
        <n v="3628.62"/>
        <n v="6359.92"/>
        <n v="840.36"/>
        <n v="5835.35"/>
        <n v="2053.63"/>
        <n v="2913.93"/>
        <n v="1766.35"/>
        <n v="5933.99"/>
        <n v="1331.78"/>
        <n v="8998.0"/>
        <n v="5870.83"/>
        <n v="3454.57"/>
        <n v="2966.11"/>
        <n v="5105.04"/>
        <n v="4072.0"/>
        <n v="5627.19"/>
        <n v="4867.03"/>
        <n v="9531.04"/>
        <n v="1419.41"/>
        <n v="7604.45"/>
        <n v="7798.56"/>
        <n v="6972.94"/>
        <n v="4910.18"/>
        <n v="8597.05"/>
        <n v="4087.37"/>
        <n v="2463.28"/>
        <n v="4248.06"/>
        <n v="5230.56"/>
        <n v="6229.54"/>
        <n v="2596.79"/>
        <n v="5533.7"/>
        <n v="8056.08"/>
        <n v="2845.29"/>
        <n v="5632.9"/>
        <n v="6470.52"/>
        <n v="1494.75"/>
        <n v="8772.48"/>
        <n v="2714.77"/>
        <n v="5315.25"/>
        <n v="2600.73"/>
        <n v="7628.45"/>
        <n v="6483.51"/>
        <n v="3045.87"/>
        <n v="510.27"/>
        <n v="8987.85"/>
        <n v="126.43"/>
        <n v="2195.54"/>
        <n v="6971.5"/>
        <n v="7695.19"/>
        <n v="7766.39"/>
        <n v="1748.29"/>
        <n v="3354.25"/>
        <n v="4439.51"/>
        <n v="1225.22"/>
        <n v="1684.87"/>
        <n v="2831.4"/>
        <n v="4778.33"/>
        <n v="312.45"/>
        <n v="3984.22"/>
        <n v="1532.16"/>
        <n v="1697.99"/>
        <n v="6130.62"/>
        <n v="3615.57"/>
        <n v="8758.85"/>
        <n v="9617.96"/>
        <n v="8021.71"/>
        <n v="5225.95"/>
        <n v="3710.74"/>
        <n v="6597.22"/>
        <n v="5434.01"/>
        <n v="2372.16"/>
        <n v="5319.43"/>
        <n v="3849.71"/>
        <n v="8561.08"/>
        <n v="697.58"/>
        <n v="9455.84"/>
        <n v="7317.93"/>
        <n v="9455.46"/>
        <n v="3995.56"/>
        <n v="6624.4"/>
        <n v="6296.98"/>
        <n v="2129.25"/>
        <n v="9626.66"/>
        <n v="263.03"/>
        <n v="8681.94"/>
        <n v="1413.56"/>
        <n v="5919.37"/>
        <n v="601.01"/>
        <n v="9812.42"/>
        <n v="7049.84"/>
        <n v="9117.95"/>
        <n v="5856.17"/>
        <n v="3149.16"/>
        <n v="2.7"/>
        <n v="5019.98"/>
        <n v="2159.33"/>
        <n v="8410.69"/>
        <n v="763.86"/>
        <n v="6956.08"/>
        <n v="6308.96"/>
        <n v="7184.59"/>
        <n v="1837.68"/>
        <n v="6339.64"/>
        <n v="8356.8"/>
        <n v="9634.22"/>
        <n v="4126.97"/>
        <n v="7618.41"/>
        <n v="6417.88"/>
        <n v="3596.27"/>
        <n v="6075.92"/>
        <n v="1904.84"/>
        <n v="6466.03"/>
        <n v="7540.31"/>
        <n v="1268.35"/>
        <n v="9410.18"/>
        <n v="6048.97"/>
        <n v="1079.85"/>
        <n v="8552.76"/>
        <n v="5757.12"/>
        <n v="5165.15"/>
        <n v="6857.54"/>
        <n v="7745.54"/>
        <n v="3801.08"/>
        <n v="8275.6"/>
        <n v="965.58"/>
        <n v="8771.16"/>
        <n v="6350.66"/>
        <n v="6823.66"/>
        <n v="4629.29"/>
        <n v="8223.85"/>
        <n v="7029.93"/>
        <n v="6299.29"/>
        <n v="1582.69"/>
        <n v="7850.13"/>
        <n v="6861.3"/>
        <n v="8272.55"/>
        <n v="9887.41"/>
        <n v="8617.72"/>
        <n v="9203.26"/>
        <n v="6278.14"/>
        <n v="7886.18"/>
        <n v="2418.86"/>
        <n v="9397.37"/>
        <n v="5806.61"/>
        <n v="2664.91"/>
        <n v="7947.33"/>
        <n v="6393.01"/>
        <n v="6434.07"/>
        <n v="8253.95"/>
        <n v="8223.28"/>
        <n v="7606.64"/>
        <n v="695.07"/>
        <n v="7527.54"/>
        <n v="7924.85"/>
        <n v="3020.17"/>
        <n v="9880.79"/>
        <n v="9239.24"/>
        <n v="6818.75"/>
        <n v="4949.84"/>
        <n v="8406.5"/>
        <n v="5963.86"/>
        <n v="1427.14"/>
        <n v="9432.42"/>
        <n v="6461.94"/>
        <n v="3732.54"/>
        <n v="6874.57"/>
        <n v="2574.09"/>
        <n v="6682.15"/>
        <n v="8821.57"/>
        <n v="7898.87"/>
        <n v="1681.36"/>
        <n v="4449.86"/>
        <n v="6394.42"/>
        <n v="1247.1"/>
        <n v="7658.2"/>
        <n v="8956.16"/>
        <n v="7744.09"/>
        <n v="7004.65"/>
        <n v="6857.62"/>
        <n v="7635.89"/>
        <n v="133.79"/>
        <n v="8788.05"/>
        <n v="3326.51"/>
        <n v="2191.9"/>
        <n v="695.91"/>
        <n v="5961.58"/>
        <n v="25.97"/>
        <n v="3616.16"/>
        <n v="9552.84"/>
        <n v="7641.57"/>
        <n v="7780.94"/>
        <n v="2310.42"/>
        <n v="7682.76"/>
        <n v="9815.53"/>
        <n v="5277.71"/>
        <n v="1522.26"/>
        <n v="8889.03"/>
        <n v="9318.99"/>
        <n v="9616.92"/>
      </sharedItems>
    </cacheField>
    <cacheField name="Sales Rep" numFmtId="0">
      <sharedItems>
        <s v="Frankie"/>
        <s v="Iman"/>
        <s v="Cris"/>
        <s v="Gabriel"/>
        <s v="Bo"/>
        <s v="Francis"/>
        <s v="Toprak"/>
        <s v="Omotayo"/>
        <s v="Teo"/>
        <s v="Jaime"/>
        <s v="Kai"/>
        <s v="Lee"/>
        <s v="Ebony"/>
        <s v="Amulya"/>
        <s v="Arnaldo"/>
        <s v="Willamina"/>
        <s v="Caryl"/>
        <s v="Hester"/>
        <s v="Claude"/>
        <s v="Chicky"/>
        <s v="Boy"/>
        <s v="Gabey"/>
        <s v="Ursulina"/>
        <s v="Anabella"/>
        <s v="Devland"/>
        <s v="Giorgia"/>
        <s v="Delaney"/>
        <s v="Koren"/>
        <s v="Llywellyn"/>
        <s v="Tildie"/>
        <s v="Lulu"/>
        <s v="Loren"/>
        <s v="Hali"/>
        <s v="Bibi"/>
        <s v="Grantham"/>
        <s v="Josey"/>
        <s v="Callie"/>
        <s v="Odele"/>
        <s v="Christa"/>
        <s v="Lizabeth"/>
        <s v="Lanita"/>
        <s v="Wyn"/>
        <s v="Steffane"/>
        <s v="Hershel"/>
        <s v="Daisey"/>
        <s v="Robinette"/>
        <s v="Jonis"/>
        <s v="Anthia"/>
        <s v="Vicki"/>
        <s v="Flemming"/>
        <s v="Benedict"/>
        <s v="Rollie"/>
        <s v="Debra"/>
        <s v="Alley"/>
        <s v="Violet"/>
        <s v="Llewellyn"/>
        <s v="Jacklyn"/>
        <s v="Nerti"/>
        <s v="Kira"/>
        <s v="Coletta"/>
        <s v="Nathanial"/>
        <s v="Tina"/>
        <s v="Garrek"/>
        <s v="Bryant"/>
        <s v="Lucio"/>
        <s v="Milton"/>
        <s v="Correna"/>
        <s v="Gregoire"/>
        <s v="Kimberly"/>
        <s v="Candice"/>
        <s v="Jesse"/>
        <s v="Vevay"/>
        <s v="Brande"/>
        <s v="Marylou"/>
        <s v="Honey"/>
        <s v="Noel"/>
        <s v="Dorey"/>
        <s v="Peyton"/>
        <s v="Karlotta"/>
        <s v="Tommie"/>
        <s v="Janeczka"/>
        <s v="Powell"/>
        <s v="Dulcea"/>
        <s v="Nanni"/>
        <s v="Faber"/>
        <s v="Itch"/>
        <s v="Blondelle"/>
        <s v="Venus"/>
        <s v="Freedman"/>
        <s v="Peyter"/>
        <s v="Alisa"/>
        <s v="Lucian"/>
        <s v="Andros"/>
        <s v="Fancie"/>
        <s v="Benito"/>
        <s v="Sky"/>
        <s v="Margit"/>
        <s v="Archibaldo"/>
        <s v="Mickie"/>
        <s v="D'arcy"/>
        <s v="Leslie"/>
        <s v="Rakel"/>
        <s v="Burty"/>
        <s v="Ulric"/>
        <s v="Moritz"/>
        <s v="Binnie"/>
        <s v="Loy"/>
        <s v="Arleta"/>
        <s v="Elita"/>
        <s v="Clint"/>
        <s v="Ethe"/>
        <s v="Evelina"/>
        <s v="Nickolaus"/>
        <s v="Meredeth"/>
        <s v="Web"/>
        <s v="Kimble"/>
        <s v="Holt"/>
        <s v="Oberon"/>
        <s v="Gwenora"/>
        <s v="Lindsy"/>
        <s v="Janessa"/>
        <s v="Holly"/>
        <s v="Bellanca"/>
        <s v="Binny"/>
        <s v="Rice"/>
        <s v="Vanessa"/>
        <s v="Bill"/>
        <s v="Roosevelt"/>
        <s v="Jerrie"/>
        <s v="Engracia"/>
        <s v="Rafaellle"/>
        <s v="Millard"/>
        <s v="Salmon"/>
        <s v="Bethina"/>
        <s v="Darla"/>
        <s v="Lorrie"/>
        <s v="Vina"/>
        <s v="Larine"/>
        <s v="Brew"/>
        <s v="Tobit"/>
        <s v="Pyotr"/>
        <s v="Link"/>
        <s v="Wynnie"/>
        <s v="Honoria"/>
        <s v="Ainslee"/>
        <s v="Jereme"/>
        <s v="Holmes"/>
        <s v="Shanon"/>
        <s v="Tymothy"/>
        <s v="Kelli"/>
        <s v="Wilmette"/>
        <s v="Reeva"/>
        <s v="Mariette"/>
        <s v="Idelle"/>
        <s v="Christiano"/>
        <s v="Moll"/>
        <s v="Piper"/>
        <s v="Neron"/>
        <s v="Ferd"/>
        <s v="Coralie"/>
        <s v="Marsha"/>
        <s v="Liesa"/>
        <s v="Danielle"/>
        <s v="Roddy"/>
        <s v="Correy"/>
        <s v="Rubetta"/>
        <s v="Ange"/>
        <s v="Blair"/>
        <s v="Clarence"/>
        <s v="Walt"/>
        <s v="Kristien"/>
        <s v="Kristo"/>
        <s v="Peder"/>
        <s v="Sabrina"/>
        <s v="Tybalt"/>
        <s v="Perle"/>
        <s v="Kriste"/>
        <s v="Hermie"/>
        <s v="Freida"/>
        <s v="Sadella"/>
        <s v="Nicola"/>
        <s v="Amber"/>
        <s v="Tera"/>
        <s v="Fraze"/>
        <s v="Arda"/>
        <s v="Aristotle"/>
        <s v="Alma"/>
        <s v="Ralph"/>
        <s v="Tarah"/>
        <s v="Birgit"/>
        <s v="Augy"/>
        <s v="Carita"/>
        <s v="Anselma"/>
        <s v="Orton"/>
        <s v="Clea"/>
        <s v="Cariotta"/>
        <s v="Kelila"/>
        <s v="Penelope"/>
        <s v="Kristen"/>
        <s v="Siusan"/>
        <s v="Cassondra"/>
        <s v="Guinevere"/>
        <s v="Adamo"/>
        <s v="Royall"/>
        <s v="Prudence"/>
        <s v="Devon"/>
        <s v="Belva"/>
        <s v="Rickey"/>
        <s v="Tersina"/>
        <s v="Dorette"/>
        <s v="Victoir"/>
        <s v="Levy"/>
        <s v="Coleman"/>
        <s v="Lesya"/>
        <s v="Noach"/>
        <s v="Ernie"/>
        <s v="Steffen"/>
        <s v="Barby"/>
        <s v="Osbert"/>
        <s v="Bobette"/>
        <s v="Jeralee"/>
        <s v="Glenda"/>
        <s v="Clementius"/>
        <s v="Abdul"/>
        <s v="Jamey"/>
        <s v="Stephine"/>
        <s v="Jamima"/>
        <s v="Jacquette"/>
        <s v="Roseanne"/>
        <s v="Abby"/>
        <s v="Nickola"/>
        <s v="Tyrone"/>
        <s v="Gard"/>
        <s v="Lisetta"/>
        <s v="Maurie"/>
        <s v="Jourdain"/>
        <s v="Udell"/>
        <s v="Guglielmo"/>
        <s v="Rooney"/>
        <s v="Abbie"/>
        <s v="Sigismond"/>
        <s v="Penni"/>
        <s v="Ethelda"/>
        <s v="Giulio"/>
        <s v="Deanne"/>
        <s v="Pablo"/>
        <s v="Kathryn"/>
        <s v="Bernetta"/>
        <s v="Courtney"/>
        <s v="Catherin"/>
        <s v="Guilbert"/>
        <s v="Ernesto"/>
        <s v="Sydney"/>
        <s v="Merrielle"/>
        <s v="Adena"/>
        <s v="Yorker"/>
        <s v="Kerry"/>
        <s v="Mavis"/>
        <s v="Magnum"/>
        <s v="Cordula"/>
        <s v="Benedick"/>
        <s v="Andonis"/>
        <s v="Ari"/>
        <s v="Janith"/>
        <s v="Margo"/>
        <s v="Kirbee"/>
        <s v="Heidi"/>
        <s v="Nerita"/>
        <s v="Lodovico"/>
        <s v="Adan"/>
        <s v="Antonella"/>
        <s v="Clemmy"/>
        <s v="Armin"/>
        <s v="Jodie"/>
        <s v="Thorvald"/>
        <s v="Hermione"/>
        <s v="Elbertina"/>
        <s v="Alfonse"/>
        <s v="Blane"/>
        <s v="Hadria"/>
        <s v="Selma"/>
        <s v="Amalia"/>
        <s v="Edward"/>
        <s v="Murielle"/>
        <s v="Bobbe"/>
        <s v="Bran"/>
        <s v="Aimee"/>
        <s v="Dillon"/>
        <s v="Gabriela"/>
        <s v="Penny"/>
        <s v="Tabbie"/>
        <s v="Hall"/>
        <s v="Larina"/>
        <s v="Koressa"/>
        <s v="Emmy"/>
        <s v="Rees"/>
        <s v="Yolane"/>
        <s v="Farris"/>
        <s v="Jarret"/>
        <s v="Christiana"/>
        <s v="Janette"/>
        <s v="Terrance"/>
        <s v="Bridie"/>
        <s v="Kitti"/>
        <s v="Anny"/>
        <s v="Clyve"/>
        <s v="Marcella"/>
        <s v="Inna"/>
        <s v="Barbey"/>
        <s v="Wenonah"/>
        <s v="Corbet"/>
        <s v="Stacy"/>
        <s v="Benny"/>
        <s v="Zilvia"/>
        <s v="Hayes"/>
        <s v="Anne"/>
        <s v="Pennie"/>
        <s v="Alicia"/>
        <s v="Josefa"/>
        <s v="Janella"/>
        <s v="Esme"/>
        <s v="Derick"/>
        <s v="Valaria"/>
        <s v="Joseph"/>
        <s v="Paddy"/>
        <s v="Brannon"/>
        <s v="Carina"/>
        <s v="Antoni"/>
        <s v="Olenka"/>
        <s v="Waverley"/>
        <s v="Kerrie"/>
        <s v="Adriane"/>
        <s v="Hazel"/>
        <s v="Maryjo"/>
        <s v="Vernor"/>
        <s v="Rosalyn"/>
        <s v="Pearla"/>
        <s v="Harlene"/>
        <s v="Reiko"/>
        <s v="Katleen"/>
        <s v="Lyndell"/>
        <s v="Laurene"/>
        <s v="Berty"/>
        <s v="Pepita"/>
        <s v="Yulma"/>
        <s v="Lorianna"/>
        <s v="Philippine"/>
        <s v="Rochell"/>
        <s v="Angeline"/>
        <s v="Yolanthe"/>
        <s v="Johanna"/>
        <s v="Katee"/>
        <s v="Greer"/>
        <s v="Bat"/>
        <s v="Truda"/>
        <s v="Pen"/>
        <s v="Jaymie"/>
        <s v="Tabby"/>
        <s v="Teddy"/>
        <s v="Harry"/>
        <s v="Ebba"/>
        <s v="Latisha"/>
        <s v="Ronna"/>
        <s v="Braden"/>
        <s v="Giuditta"/>
        <s v="Ian"/>
        <s v="Griff"/>
        <s v="Salomi"/>
        <s v="Petr"/>
        <s v="Fields"/>
        <s v="Zeb"/>
        <s v="Susie"/>
        <s v="Demetra"/>
        <s v="Pattie"/>
        <s v="Mathilda"/>
        <s v="Estrella"/>
        <s v="Palm"/>
        <s v="Les"/>
        <s v="Bradford"/>
        <s v="Terese"/>
        <s v="Giustina"/>
        <s v="Faythe"/>
        <s v="Wilmer"/>
        <s v="Lilllie"/>
        <s v="Parrnell"/>
        <s v="Rufe"/>
        <s v="Brandie"/>
        <s v="Lorelle"/>
        <s v="Giffard"/>
        <s v="Baillie"/>
        <s v="Merci"/>
        <s v="Huntington"/>
        <s v="Miranda"/>
        <s v="Lib"/>
        <s v="Rudolf"/>
        <s v="Feodor"/>
        <s v="Cinderella"/>
        <s v="Lev"/>
        <s v="Donna"/>
        <s v="Bonnee"/>
        <s v="Dav"/>
        <s v="Bertram"/>
        <s v="Augustus"/>
        <s v="Fleming"/>
        <s v="Dixie"/>
        <s v="Leone"/>
        <s v="Claudius"/>
        <s v="Olympe"/>
        <s v="Nealy"/>
        <s v="Deeanne"/>
        <s v="Kyle"/>
        <s v="Gonzalo"/>
        <s v="Zacharia"/>
        <s v="Everett"/>
        <s v="Carl"/>
        <s v="Claribel"/>
        <s v="Domingo"/>
        <s v="Marty"/>
        <s v="Xylia"/>
        <s v="Humphrey"/>
        <s v="Gerianne"/>
        <s v="Drusy"/>
        <s v="Anallese"/>
        <s v="Timmy"/>
        <s v="Alleyn"/>
        <s v="Cookie"/>
        <s v="Roley"/>
        <s v="Harlie"/>
        <s v="Lona"/>
        <s v="Bernadette"/>
        <s v="Liuka"/>
        <s v="Constantina"/>
        <s v="Gena"/>
        <s v="Luz"/>
        <s v="Shalom"/>
        <s v="Jabez"/>
        <s v="Uri"/>
        <s v="Arch"/>
        <s v="Laurena"/>
        <s v="Derk"/>
        <s v="Karlens"/>
        <s v="Annabella"/>
        <s v="Esther"/>
        <s v="Hector"/>
        <s v="Jessie"/>
        <s v="Jamal"/>
        <s v="Aldon"/>
        <s v="Steffie"/>
        <s v="Nita"/>
        <s v="Gray"/>
        <s v="Guthrie"/>
        <s v="Annalise"/>
        <s v="Gusti"/>
        <s v="Asia"/>
        <s v="Benni"/>
        <s v="Filberto"/>
        <s v="Charmaine"/>
        <s v="Daniele"/>
        <s v="Sampson"/>
        <s v="Karia"/>
        <s v="Drucy"/>
        <s v="Maxim"/>
        <s v="Charley"/>
        <s v="Hedy"/>
        <s v="Arabelle"/>
        <s v="Mariejeanne"/>
        <s v="Adah"/>
        <s v="Lucine"/>
        <s v="Eachelle"/>
        <s v="Eduino"/>
        <s v="Donovan"/>
        <s v="Hew"/>
        <s v="Rici"/>
        <s v="Ty"/>
        <s v="Ilysa"/>
        <s v="Sandy"/>
        <s v="Fredrick"/>
        <s v="Sherwynd"/>
        <s v="Neale"/>
        <s v="Phaedra"/>
        <s v="Thaddeus"/>
        <s v="Jodee"/>
        <s v="Lynsey"/>
        <s v="Tresa"/>
        <s v="Theo"/>
        <s v="Westleigh"/>
        <s v="Sid"/>
        <s v="Sorcha"/>
        <s v="Merridie"/>
      </sharedItems>
    </cacheField>
    <cacheField name="Payment Method" numFmtId="0">
      <sharedItems>
        <s v="Cash"/>
        <s v="Credit"/>
        <s v="Chec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A2:F4401" firstHeaderRow="0" firstDataRow="5" firstDataCol="0"/>
  <pivotFields>
    <pivotField name="Customer ID" axis="axisRow" compact="0" outline="0" multipleItemSelectionAllowed="1" showAll="0" sortType="ascending">
      <items>
        <item x="50"/>
        <item x="716"/>
        <item x="227"/>
        <item x="556"/>
        <item x="593"/>
        <item x="295"/>
        <item x="62"/>
        <item x="487"/>
        <item x="326"/>
        <item x="662"/>
        <item x="412"/>
        <item x="334"/>
        <item x="43"/>
        <item x="20"/>
        <item x="686"/>
        <item x="732"/>
        <item x="285"/>
        <item x="287"/>
        <item x="744"/>
        <item x="419"/>
        <item x="509"/>
        <item x="871"/>
        <item x="275"/>
        <item x="6"/>
        <item x="668"/>
        <item x="772"/>
        <item x="459"/>
        <item x="687"/>
        <item x="383"/>
        <item x="865"/>
        <item x="813"/>
        <item x="125"/>
        <item x="129"/>
        <item x="426"/>
        <item x="664"/>
        <item x="132"/>
        <item x="222"/>
        <item x="471"/>
        <item x="315"/>
        <item x="612"/>
        <item x="96"/>
        <item x="584"/>
        <item x="455"/>
        <item x="552"/>
        <item x="651"/>
        <item x="283"/>
        <item x="698"/>
        <item x="635"/>
        <item x="90"/>
        <item x="210"/>
        <item x="198"/>
        <item x="563"/>
        <item x="330"/>
        <item x="890"/>
        <item x="590"/>
        <item x="523"/>
        <item x="168"/>
        <item x="343"/>
        <item x="480"/>
        <item x="628"/>
        <item x="44"/>
        <item x="26"/>
        <item x="16"/>
        <item x="146"/>
        <item x="671"/>
        <item x="344"/>
        <item x="182"/>
        <item x="89"/>
        <item x="407"/>
        <item x="611"/>
        <item x="516"/>
        <item x="448"/>
        <item x="7"/>
        <item x="398"/>
        <item x="360"/>
        <item x="152"/>
        <item x="175"/>
        <item x="656"/>
        <item x="141"/>
        <item x="675"/>
        <item x="311"/>
        <item x="212"/>
        <item x="110"/>
        <item x="281"/>
        <item x="467"/>
        <item x="399"/>
        <item x="725"/>
        <item x="447"/>
        <item x="581"/>
        <item x="817"/>
        <item x="787"/>
        <item x="476"/>
        <item x="348"/>
        <item x="149"/>
        <item x="441"/>
        <item x="614"/>
        <item x="102"/>
        <item x="492"/>
        <item x="867"/>
        <item x="57"/>
        <item x="524"/>
        <item x="539"/>
        <item x="754"/>
        <item x="588"/>
        <item x="41"/>
        <item x="897"/>
        <item x="900"/>
        <item x="94"/>
        <item x="60"/>
        <item x="256"/>
        <item x="543"/>
        <item x="339"/>
        <item x="150"/>
        <item x="293"/>
        <item x="733"/>
        <item x="241"/>
        <item x="515"/>
        <item x="742"/>
        <item x="9"/>
        <item x="45"/>
        <item x="911"/>
        <item x="810"/>
        <item x="598"/>
        <item x="791"/>
        <item x="610"/>
        <item x="411"/>
        <item x="461"/>
        <item x="151"/>
        <item x="156"/>
        <item x="122"/>
        <item x="67"/>
        <item x="645"/>
        <item x="450"/>
        <item x="109"/>
        <item x="674"/>
        <item x="134"/>
        <item x="347"/>
        <item x="10"/>
        <item x="868"/>
        <item x="902"/>
        <item x="437"/>
        <item x="213"/>
        <item x="47"/>
        <item x="3"/>
        <item x="483"/>
        <item x="17"/>
        <item x="78"/>
        <item x="530"/>
        <item x="907"/>
        <item x="298"/>
        <item x="413"/>
        <item x="658"/>
        <item x="511"/>
        <item x="224"/>
        <item x="235"/>
        <item x="304"/>
        <item x="342"/>
        <item x="352"/>
        <item x="700"/>
        <item x="260"/>
        <item x="605"/>
        <item x="781"/>
        <item x="230"/>
        <item x="187"/>
        <item x="403"/>
        <item x="354"/>
        <item x="484"/>
        <item x="355"/>
        <item x="495"/>
        <item x="74"/>
        <item x="798"/>
        <item x="621"/>
        <item x="127"/>
        <item x="291"/>
        <item x="803"/>
        <item x="121"/>
        <item x="401"/>
        <item x="430"/>
        <item x="473"/>
        <item x="273"/>
        <item x="771"/>
        <item x="38"/>
        <item x="723"/>
        <item x="370"/>
        <item x="823"/>
        <item x="180"/>
        <item x="71"/>
        <item x="529"/>
        <item x="282"/>
        <item x="8"/>
        <item x="746"/>
        <item x="84"/>
        <item x="226"/>
        <item x="597"/>
        <item x="788"/>
        <item x="462"/>
        <item x="566"/>
        <item x="647"/>
        <item x="443"/>
        <item x="537"/>
        <item x="778"/>
        <item x="859"/>
        <item x="164"/>
        <item x="542"/>
        <item x="652"/>
        <item x="257"/>
        <item x="870"/>
        <item x="91"/>
        <item x="828"/>
        <item x="248"/>
        <item x="520"/>
        <item x="402"/>
        <item x="82"/>
        <item x="414"/>
        <item x="648"/>
        <item x="160"/>
        <item x="631"/>
        <item x="704"/>
        <item x="42"/>
        <item x="188"/>
        <item x="76"/>
        <item x="633"/>
        <item x="279"/>
        <item x="532"/>
        <item x="289"/>
        <item x="250"/>
        <item x="418"/>
        <item x="599"/>
        <item x="669"/>
        <item x="243"/>
        <item x="764"/>
        <item x="157"/>
        <item x="512"/>
        <item x="25"/>
        <item x="779"/>
        <item x="261"/>
        <item x="233"/>
        <item x="903"/>
        <item x="741"/>
        <item x="409"/>
        <item x="438"/>
        <item x="203"/>
        <item x="592"/>
        <item x="422"/>
        <item x="841"/>
        <item x="835"/>
        <item x="37"/>
        <item x="684"/>
        <item x="503"/>
        <item x="170"/>
        <item x="745"/>
        <item x="505"/>
        <item x="100"/>
        <item x="15"/>
        <item x="762"/>
        <item x="148"/>
        <item x="35"/>
        <item x="596"/>
        <item x="92"/>
        <item x="550"/>
        <item x="790"/>
        <item x="280"/>
        <item x="308"/>
        <item x="228"/>
        <item x="583"/>
        <item x="579"/>
        <item x="663"/>
        <item x="514"/>
        <item x="615"/>
        <item x="442"/>
        <item x="876"/>
        <item x="386"/>
        <item x="586"/>
        <item x="216"/>
        <item x="24"/>
        <item x="468"/>
        <item x="525"/>
        <item x="130"/>
        <item x="154"/>
        <item x="774"/>
        <item x="729"/>
        <item x="688"/>
        <item x="420"/>
        <item x="624"/>
        <item x="63"/>
        <item x="777"/>
        <item x="199"/>
        <item x="770"/>
        <item x="316"/>
        <item x="88"/>
        <item x="814"/>
        <item x="337"/>
        <item x="683"/>
        <item x="314"/>
        <item x="735"/>
        <item x="625"/>
        <item x="869"/>
        <item x="693"/>
        <item x="562"/>
        <item x="466"/>
        <item x="69"/>
        <item x="244"/>
        <item x="97"/>
        <item x="258"/>
        <item x="807"/>
        <item x="527"/>
        <item x="79"/>
        <item x="863"/>
        <item x="793"/>
        <item x="875"/>
        <item x="547"/>
        <item x="113"/>
        <item x="296"/>
        <item x="155"/>
        <item x="858"/>
        <item x="780"/>
        <item x="882"/>
        <item x="392"/>
        <item x="533"/>
        <item x="832"/>
        <item x="619"/>
        <item x="521"/>
        <item x="818"/>
        <item x="478"/>
        <item x="806"/>
        <item x="33"/>
        <item x="375"/>
        <item x="839"/>
        <item x="321"/>
        <item x="713"/>
        <item x="405"/>
        <item x="313"/>
        <item x="274"/>
        <item x="252"/>
        <item x="133"/>
        <item x="844"/>
        <item x="381"/>
        <item x="305"/>
        <item x="678"/>
        <item x="384"/>
        <item x="589"/>
        <item x="217"/>
        <item x="387"/>
        <item x="66"/>
        <item x="365"/>
        <item x="367"/>
        <item x="366"/>
        <item x="864"/>
        <item x="32"/>
        <item x="567"/>
        <item x="211"/>
        <item x="288"/>
        <item x="294"/>
        <item x="277"/>
        <item x="667"/>
        <item x="670"/>
        <item x="553"/>
        <item x="482"/>
        <item x="569"/>
        <item x="690"/>
        <item x="184"/>
        <item x="856"/>
        <item x="578"/>
        <item x="846"/>
        <item x="272"/>
        <item x="161"/>
        <item x="609"/>
        <item x="229"/>
        <item x="880"/>
        <item x="497"/>
        <item x="805"/>
        <item x="327"/>
        <item x="800"/>
        <item x="333"/>
        <item x="724"/>
        <item x="901"/>
        <item x="528"/>
        <item x="19"/>
        <item x="255"/>
        <item x="329"/>
        <item x="878"/>
        <item x="608"/>
        <item x="417"/>
        <item x="451"/>
        <item x="801"/>
        <item x="883"/>
        <item x="232"/>
        <item x="889"/>
        <item x="564"/>
        <item x="642"/>
        <item x="734"/>
        <item x="753"/>
        <item x="848"/>
        <item x="48"/>
        <item x="87"/>
        <item x="510"/>
        <item x="535"/>
        <item x="703"/>
        <item x="622"/>
        <item x="434"/>
        <item x="582"/>
        <item x="884"/>
        <item x="752"/>
        <item x="819"/>
        <item x="266"/>
        <item x="238"/>
        <item x="490"/>
        <item x="587"/>
        <item x="580"/>
        <item x="617"/>
        <item x="748"/>
        <item x="874"/>
        <item x="59"/>
        <item x="558"/>
        <item x="469"/>
        <item x="702"/>
        <item x="711"/>
        <item x="888"/>
        <item x="799"/>
        <item x="29"/>
        <item x="712"/>
        <item x="660"/>
        <item x="549"/>
        <item x="431"/>
        <item x="166"/>
        <item x="195"/>
        <item x="895"/>
        <item x="554"/>
        <item x="766"/>
        <item x="773"/>
        <item x="427"/>
        <item x="382"/>
        <item x="361"/>
        <item x="265"/>
        <item x="139"/>
        <item x="646"/>
        <item x="325"/>
        <item x="695"/>
        <item x="340"/>
        <item x="838"/>
        <item x="107"/>
        <item x="22"/>
        <item x="679"/>
        <item x="98"/>
        <item x="789"/>
        <item x="328"/>
        <item x="852"/>
        <item x="653"/>
        <item x="271"/>
        <item x="307"/>
        <item x="362"/>
        <item x="200"/>
        <item x="531"/>
        <item x="242"/>
        <item x="163"/>
        <item x="638"/>
        <item x="891"/>
        <item x="12"/>
        <item x="842"/>
        <item x="136"/>
        <item x="379"/>
        <item x="758"/>
        <item x="544"/>
        <item x="707"/>
        <item x="317"/>
        <item x="551"/>
        <item x="429"/>
        <item x="541"/>
        <item x="174"/>
        <item x="336"/>
        <item x="853"/>
        <item x="449"/>
        <item x="5"/>
        <item x="192"/>
        <item x="465"/>
        <item x="318"/>
        <item x="111"/>
        <item x="207"/>
        <item x="105"/>
        <item x="371"/>
        <item x="457"/>
        <item x="112"/>
        <item x="518"/>
        <item x="264"/>
        <item x="666"/>
        <item x="594"/>
        <item x="128"/>
        <item x="357"/>
        <item x="676"/>
        <item x="460"/>
        <item x="620"/>
        <item x="706"/>
        <item x="626"/>
        <item x="491"/>
        <item x="56"/>
        <item x="767"/>
        <item x="126"/>
        <item x="72"/>
        <item x="86"/>
        <item x="860"/>
        <item x="629"/>
        <item x="364"/>
        <item x="27"/>
        <item x="812"/>
        <item x="786"/>
        <item x="796"/>
        <item x="259"/>
        <item x="104"/>
        <item x="239"/>
        <item x="636"/>
        <item x="262"/>
        <item x="373"/>
        <item x="526"/>
        <item x="135"/>
        <item x="292"/>
        <item x="477"/>
        <item x="75"/>
        <item x="822"/>
        <item x="171"/>
        <item x="498"/>
        <item x="202"/>
        <item x="877"/>
        <item x="504"/>
        <item x="247"/>
        <item x="144"/>
        <item x="124"/>
        <item x="221"/>
        <item x="571"/>
        <item x="445"/>
        <item x="117"/>
        <item x="845"/>
        <item x="428"/>
        <item x="13"/>
        <item x="322"/>
        <item x="297"/>
        <item x="444"/>
        <item x="358"/>
        <item x="46"/>
        <item x="565"/>
        <item x="829"/>
        <item x="345"/>
        <item x="475"/>
        <item x="253"/>
        <item x="861"/>
        <item x="251"/>
        <item x="837"/>
        <item x="389"/>
        <item x="898"/>
        <item x="873"/>
        <item x="691"/>
        <item x="850"/>
        <item x="268"/>
        <item x="140"/>
        <item x="52"/>
        <item x="709"/>
        <item x="659"/>
        <item x="607"/>
        <item x="319"/>
        <item x="204"/>
        <item x="106"/>
        <item x="424"/>
        <item x="657"/>
        <item x="68"/>
        <item x="77"/>
        <item x="680"/>
        <item x="1"/>
        <item x="577"/>
        <item x="331"/>
        <item x="906"/>
        <item x="103"/>
        <item x="637"/>
        <item x="193"/>
        <item x="335"/>
        <item x="682"/>
        <item x="391"/>
        <item x="220"/>
        <item x="718"/>
        <item x="557"/>
        <item x="739"/>
        <item x="708"/>
        <item x="49"/>
        <item x="28"/>
        <item x="847"/>
        <item x="717"/>
        <item x="397"/>
        <item x="118"/>
        <item x="866"/>
        <item x="189"/>
        <item x="561"/>
        <item x="236"/>
        <item x="522"/>
        <item x="538"/>
        <item x="728"/>
        <item x="137"/>
        <item x="603"/>
        <item x="602"/>
        <item x="454"/>
        <item x="390"/>
        <item x="548"/>
        <item x="30"/>
        <item x="338"/>
        <item x="536"/>
        <item x="802"/>
        <item x="502"/>
        <item x="18"/>
        <item x="627"/>
        <item x="820"/>
        <item x="784"/>
        <item x="65"/>
        <item x="759"/>
        <item x="501"/>
        <item x="95"/>
        <item x="488"/>
        <item x="743"/>
        <item x="120"/>
        <item x="385"/>
        <item x="306"/>
        <item x="905"/>
        <item x="710"/>
        <item x="575"/>
        <item x="73"/>
        <item x="672"/>
        <item x="395"/>
        <item x="540"/>
        <item x="346"/>
        <item x="826"/>
        <item x="350"/>
        <item x="654"/>
        <item x="827"/>
        <item x="190"/>
        <item x="194"/>
        <item x="55"/>
        <item x="546"/>
        <item x="380"/>
        <item x="2"/>
        <item x="756"/>
        <item x="245"/>
        <item x="36"/>
        <item x="183"/>
        <item x="31"/>
        <item x="410"/>
        <item x="665"/>
        <item x="630"/>
        <item x="604"/>
        <item x="719"/>
        <item x="93"/>
        <item x="815"/>
        <item x="849"/>
        <item x="119"/>
        <item x="736"/>
        <item x="249"/>
        <item x="833"/>
        <item x="123"/>
        <item x="776"/>
        <item x="254"/>
        <item x="393"/>
        <item x="485"/>
        <item x="910"/>
        <item x="54"/>
        <item x="349"/>
        <item x="404"/>
        <item x="225"/>
        <item x="267"/>
        <item x="872"/>
        <item x="804"/>
        <item x="644"/>
        <item x="186"/>
        <item x="585"/>
        <item x="794"/>
        <item x="560"/>
        <item x="368"/>
        <item x="472"/>
        <item x="881"/>
        <item x="218"/>
        <item x="499"/>
        <item x="720"/>
        <item x="162"/>
        <item x="39"/>
        <item x="765"/>
        <item x="738"/>
        <item x="892"/>
        <item x="545"/>
        <item x="481"/>
        <item x="240"/>
        <item x="740"/>
        <item x="114"/>
        <item x="769"/>
        <item x="353"/>
        <item x="439"/>
        <item x="205"/>
        <item x="169"/>
        <item x="677"/>
        <item x="14"/>
        <item x="727"/>
        <item x="623"/>
        <item x="302"/>
        <item x="692"/>
        <item x="689"/>
        <item x="0"/>
        <item x="394"/>
        <item x="167"/>
        <item x="494"/>
        <item x="378"/>
        <item x="508"/>
        <item x="785"/>
        <item x="661"/>
        <item x="142"/>
        <item x="559"/>
        <item x="568"/>
        <item x="400"/>
        <item x="432"/>
        <item x="440"/>
        <item x="303"/>
        <item x="181"/>
        <item x="655"/>
        <item x="196"/>
        <item x="415"/>
        <item x="899"/>
        <item x="458"/>
        <item x="23"/>
        <item x="726"/>
        <item x="153"/>
        <item x="61"/>
        <item x="278"/>
        <item x="51"/>
        <item x="377"/>
        <item x="286"/>
        <item x="811"/>
        <item x="376"/>
        <item x="64"/>
        <item x="673"/>
        <item x="165"/>
        <item x="600"/>
        <item x="885"/>
        <item x="650"/>
        <item x="214"/>
        <item x="649"/>
        <item x="416"/>
        <item x="312"/>
        <item x="685"/>
        <item x="894"/>
        <item x="572"/>
        <item x="506"/>
        <item x="58"/>
        <item x="425"/>
        <item x="705"/>
        <item x="320"/>
        <item x="519"/>
        <item x="896"/>
        <item x="310"/>
        <item x="34"/>
        <item x="463"/>
        <item x="821"/>
        <item x="284"/>
        <item x="618"/>
        <item x="601"/>
        <item x="363"/>
        <item x="862"/>
        <item x="223"/>
        <item x="332"/>
        <item x="775"/>
        <item x="177"/>
        <item x="830"/>
        <item x="782"/>
        <item x="616"/>
        <item x="517"/>
        <item x="570"/>
        <item x="435"/>
        <item x="269"/>
        <item x="301"/>
        <item x="270"/>
        <item x="53"/>
        <item x="641"/>
        <item x="323"/>
        <item x="21"/>
        <item x="749"/>
        <item x="792"/>
        <item x="172"/>
        <item x="374"/>
        <item x="234"/>
        <item x="857"/>
        <item x="276"/>
        <item x="825"/>
        <item x="147"/>
        <item x="185"/>
        <item x="479"/>
        <item x="436"/>
        <item x="116"/>
        <item x="324"/>
        <item x="197"/>
        <item x="893"/>
        <item x="513"/>
        <item x="763"/>
        <item x="591"/>
        <item x="191"/>
        <item x="840"/>
        <item x="158"/>
        <item x="797"/>
        <item x="632"/>
        <item x="808"/>
        <item x="206"/>
        <item x="341"/>
        <item x="886"/>
        <item x="574"/>
        <item x="80"/>
        <item x="500"/>
        <item x="496"/>
        <item x="757"/>
        <item x="131"/>
        <item x="138"/>
        <item x="421"/>
        <item x="834"/>
        <item x="606"/>
        <item x="761"/>
        <item x="783"/>
        <item x="246"/>
        <item x="909"/>
        <item x="722"/>
        <item x="85"/>
        <item x="231"/>
        <item x="643"/>
        <item x="81"/>
        <item x="433"/>
        <item x="737"/>
        <item x="372"/>
        <item x="452"/>
        <item x="201"/>
        <item x="715"/>
        <item x="887"/>
        <item x="879"/>
        <item x="173"/>
        <item x="731"/>
        <item x="446"/>
        <item x="464"/>
        <item x="406"/>
        <item x="4"/>
        <item x="489"/>
        <item x="453"/>
        <item x="396"/>
        <item x="730"/>
        <item x="145"/>
        <item x="83"/>
        <item x="595"/>
        <item x="359"/>
        <item x="369"/>
        <item x="159"/>
        <item x="101"/>
        <item x="507"/>
        <item x="824"/>
        <item x="809"/>
        <item x="99"/>
        <item x="855"/>
        <item x="40"/>
        <item x="179"/>
        <item x="696"/>
        <item x="576"/>
        <item x="640"/>
        <item x="456"/>
        <item x="534"/>
        <item x="795"/>
        <item x="208"/>
        <item x="854"/>
        <item x="423"/>
        <item x="831"/>
        <item x="613"/>
        <item x="836"/>
        <item x="904"/>
        <item x="694"/>
        <item x="309"/>
        <item x="639"/>
        <item x="555"/>
        <item x="290"/>
        <item x="697"/>
        <item x="300"/>
        <item x="263"/>
        <item x="209"/>
        <item x="470"/>
        <item x="178"/>
        <item x="493"/>
        <item x="11"/>
        <item x="908"/>
        <item x="573"/>
        <item x="351"/>
        <item x="408"/>
        <item x="219"/>
        <item x="714"/>
        <item x="143"/>
        <item x="634"/>
        <item x="760"/>
        <item x="701"/>
        <item x="755"/>
        <item x="299"/>
        <item x="176"/>
        <item x="750"/>
        <item x="699"/>
        <item x="851"/>
        <item x="356"/>
        <item x="237"/>
        <item x="843"/>
        <item x="215"/>
        <item x="115"/>
        <item x="388"/>
        <item x="721"/>
        <item x="486"/>
        <item x="474"/>
        <item x="70"/>
        <item x="768"/>
        <item x="751"/>
        <item x="816"/>
        <item x="108"/>
        <item x="681"/>
        <item x="747"/>
        <item t="default"/>
      </items>
    </pivotField>
    <pivotField name="Purchase date" axis="axisRow" compact="0" numFmtId="164" outline="0" multipleItemSelectionAllowed="1" showAll="0" sortType="ascending">
      <items>
        <item x="17"/>
        <item x="263"/>
        <item x="249"/>
        <item x="59"/>
        <item x="199"/>
        <item x="283"/>
        <item x="290"/>
        <item x="200"/>
        <item x="63"/>
        <item x="340"/>
        <item x="325"/>
        <item x="47"/>
        <item x="272"/>
        <item x="287"/>
        <item x="253"/>
        <item x="27"/>
        <item x="279"/>
        <item x="66"/>
        <item x="33"/>
        <item x="31"/>
        <item x="146"/>
        <item x="187"/>
        <item x="86"/>
        <item x="183"/>
        <item x="76"/>
        <item x="271"/>
        <item x="140"/>
        <item x="252"/>
        <item x="18"/>
        <item x="44"/>
        <item x="97"/>
        <item x="29"/>
        <item x="229"/>
        <item x="135"/>
        <item x="327"/>
        <item x="120"/>
        <item x="204"/>
        <item x="212"/>
        <item x="115"/>
        <item x="275"/>
        <item x="23"/>
        <item x="36"/>
        <item x="113"/>
        <item x="168"/>
        <item x="7"/>
        <item x="315"/>
        <item x="28"/>
        <item x="226"/>
        <item x="64"/>
        <item x="257"/>
        <item x="96"/>
        <item x="160"/>
        <item x="236"/>
        <item x="268"/>
        <item x="79"/>
        <item x="139"/>
        <item x="49"/>
        <item x="299"/>
        <item x="256"/>
        <item x="15"/>
        <item x="118"/>
        <item x="88"/>
        <item x="238"/>
        <item x="35"/>
        <item x="22"/>
        <item x="129"/>
        <item x="217"/>
        <item x="112"/>
        <item x="330"/>
        <item x="308"/>
        <item x="67"/>
        <item x="317"/>
        <item x="68"/>
        <item x="147"/>
        <item x="328"/>
        <item x="46"/>
        <item x="82"/>
        <item x="93"/>
        <item x="237"/>
        <item x="110"/>
        <item x="162"/>
        <item x="316"/>
        <item x="138"/>
        <item x="260"/>
        <item x="312"/>
        <item x="293"/>
        <item x="150"/>
        <item x="131"/>
        <item x="136"/>
        <item x="177"/>
        <item x="123"/>
        <item x="163"/>
        <item x="13"/>
        <item x="314"/>
        <item x="322"/>
        <item x="151"/>
        <item x="32"/>
        <item x="276"/>
        <item x="134"/>
        <item x="191"/>
        <item x="251"/>
        <item x="202"/>
        <item x="166"/>
        <item x="297"/>
        <item x="99"/>
        <item x="83"/>
        <item x="109"/>
        <item x="10"/>
        <item x="189"/>
        <item x="326"/>
        <item x="2"/>
        <item x="11"/>
        <item x="230"/>
        <item x="309"/>
        <item x="323"/>
        <item x="206"/>
        <item x="258"/>
        <item x="214"/>
        <item x="126"/>
        <item x="190"/>
        <item x="100"/>
        <item x="116"/>
        <item x="331"/>
        <item x="19"/>
        <item x="221"/>
        <item x="339"/>
        <item x="192"/>
        <item x="255"/>
        <item x="224"/>
        <item x="225"/>
        <item x="54"/>
        <item x="149"/>
        <item x="167"/>
        <item x="193"/>
        <item x="164"/>
        <item x="37"/>
        <item x="235"/>
        <item x="87"/>
        <item x="262"/>
        <item x="321"/>
        <item x="55"/>
        <item x="241"/>
        <item x="264"/>
        <item x="201"/>
        <item x="246"/>
        <item x="43"/>
        <item x="114"/>
        <item x="78"/>
        <item x="73"/>
        <item x="144"/>
        <item x="211"/>
        <item x="91"/>
        <item x="182"/>
        <item x="301"/>
        <item x="84"/>
        <item x="72"/>
        <item x="185"/>
        <item x="179"/>
        <item x="132"/>
        <item x="142"/>
        <item x="157"/>
        <item x="145"/>
        <item x="3"/>
        <item x="180"/>
        <item x="310"/>
        <item x="117"/>
        <item x="30"/>
        <item x="277"/>
        <item x="288"/>
        <item x="274"/>
        <item x="311"/>
        <item x="337"/>
        <item x="186"/>
        <item x="127"/>
        <item x="216"/>
        <item x="107"/>
        <item x="130"/>
        <item x="302"/>
        <item x="194"/>
        <item x="158"/>
        <item x="208"/>
        <item x="285"/>
        <item x="305"/>
        <item x="122"/>
        <item x="291"/>
        <item x="20"/>
        <item x="0"/>
        <item x="6"/>
        <item x="284"/>
        <item x="74"/>
        <item x="26"/>
        <item x="5"/>
        <item x="286"/>
        <item x="103"/>
        <item x="218"/>
        <item x="57"/>
        <item x="335"/>
        <item x="81"/>
        <item x="318"/>
        <item x="195"/>
        <item x="98"/>
        <item x="95"/>
        <item x="71"/>
        <item x="313"/>
        <item x="278"/>
        <item x="175"/>
        <item x="304"/>
        <item x="282"/>
        <item x="119"/>
        <item x="281"/>
        <item x="324"/>
        <item x="295"/>
        <item x="261"/>
        <item x="75"/>
        <item x="111"/>
        <item x="16"/>
        <item x="184"/>
        <item x="197"/>
        <item x="102"/>
        <item x="181"/>
        <item x="4"/>
        <item x="70"/>
        <item x="156"/>
        <item x="215"/>
        <item x="259"/>
        <item x="178"/>
        <item x="108"/>
        <item x="69"/>
        <item x="248"/>
        <item x="247"/>
        <item x="1"/>
        <item x="58"/>
        <item x="80"/>
        <item x="209"/>
        <item x="165"/>
        <item x="239"/>
        <item x="196"/>
        <item x="232"/>
        <item x="338"/>
        <item x="61"/>
        <item x="207"/>
        <item x="94"/>
        <item x="240"/>
        <item x="300"/>
        <item x="205"/>
        <item x="155"/>
        <item x="265"/>
        <item x="153"/>
        <item x="267"/>
        <item x="296"/>
        <item x="24"/>
        <item x="152"/>
        <item x="101"/>
        <item x="34"/>
        <item x="333"/>
        <item x="292"/>
        <item x="159"/>
        <item x="124"/>
        <item x="105"/>
        <item x="173"/>
        <item x="242"/>
        <item x="38"/>
        <item x="332"/>
        <item x="51"/>
        <item x="62"/>
        <item x="273"/>
        <item x="65"/>
        <item x="52"/>
        <item x="14"/>
        <item x="210"/>
        <item x="12"/>
        <item x="203"/>
        <item x="250"/>
        <item x="154"/>
        <item x="53"/>
        <item x="77"/>
        <item x="220"/>
        <item x="234"/>
        <item x="85"/>
        <item x="320"/>
        <item x="25"/>
        <item x="289"/>
        <item x="106"/>
        <item x="125"/>
        <item x="231"/>
        <item x="219"/>
        <item x="21"/>
        <item x="298"/>
        <item x="244"/>
        <item x="104"/>
        <item x="243"/>
        <item x="41"/>
        <item x="307"/>
        <item x="188"/>
        <item x="137"/>
        <item x="42"/>
        <item x="40"/>
        <item x="171"/>
        <item x="319"/>
        <item x="341"/>
        <item x="254"/>
        <item x="174"/>
        <item x="269"/>
        <item x="9"/>
        <item x="222"/>
        <item x="143"/>
        <item x="56"/>
        <item x="223"/>
        <item x="270"/>
        <item x="60"/>
        <item x="8"/>
        <item x="45"/>
        <item x="141"/>
        <item x="50"/>
        <item x="128"/>
        <item x="213"/>
        <item x="233"/>
        <item x="334"/>
        <item x="266"/>
        <item x="90"/>
        <item x="48"/>
        <item x="306"/>
        <item x="198"/>
        <item x="172"/>
        <item x="336"/>
        <item x="148"/>
        <item x="169"/>
        <item x="170"/>
        <item x="133"/>
        <item x="161"/>
        <item x="39"/>
        <item x="245"/>
        <item x="294"/>
        <item x="329"/>
        <item x="89"/>
        <item x="280"/>
        <item x="92"/>
        <item x="121"/>
        <item x="176"/>
        <item x="227"/>
        <item x="303"/>
        <item x="228"/>
        <item t="default"/>
      </items>
    </pivotField>
    <pivotField name="Product ID" axis="axisRow" compact="0" outline="0" multipleItemSelectionAllowed="1" showAll="0" sortType="ascending">
      <items>
        <item x="31"/>
        <item x="43"/>
        <item x="4"/>
        <item x="58"/>
        <item x="16"/>
        <item x="2"/>
        <item x="17"/>
        <item x="19"/>
        <item x="91"/>
        <item x="24"/>
        <item x="38"/>
        <item x="65"/>
        <item x="83"/>
        <item x="96"/>
        <item x="87"/>
        <item x="27"/>
        <item x="71"/>
        <item x="6"/>
        <item x="62"/>
        <item x="57"/>
        <item x="41"/>
        <item x="9"/>
        <item x="81"/>
        <item x="78"/>
        <item x="75"/>
        <item x="50"/>
        <item x="42"/>
        <item x="35"/>
        <item x="69"/>
        <item x="21"/>
        <item x="33"/>
        <item x="47"/>
        <item x="54"/>
        <item x="45"/>
        <item x="86"/>
        <item x="95"/>
        <item x="14"/>
        <item x="37"/>
        <item x="1"/>
        <item x="67"/>
        <item x="0"/>
        <item x="29"/>
        <item x="94"/>
        <item x="73"/>
        <item x="98"/>
        <item x="64"/>
        <item x="11"/>
        <item x="48"/>
        <item x="7"/>
        <item x="99"/>
        <item x="92"/>
        <item x="25"/>
        <item x="30"/>
        <item x="79"/>
        <item x="68"/>
        <item x="90"/>
        <item x="28"/>
        <item x="53"/>
        <item x="23"/>
        <item x="3"/>
        <item x="77"/>
        <item x="49"/>
        <item x="85"/>
        <item x="51"/>
        <item x="88"/>
        <item x="39"/>
        <item x="55"/>
        <item x="10"/>
        <item x="46"/>
        <item x="18"/>
        <item x="44"/>
        <item x="15"/>
        <item x="52"/>
        <item x="70"/>
        <item x="26"/>
        <item x="93"/>
        <item x="40"/>
        <item x="56"/>
        <item x="5"/>
        <item x="36"/>
        <item x="97"/>
        <item x="84"/>
        <item x="72"/>
        <item x="13"/>
        <item x="80"/>
        <item x="32"/>
        <item x="66"/>
        <item x="59"/>
        <item x="20"/>
        <item x="60"/>
        <item x="34"/>
        <item x="82"/>
        <item x="74"/>
        <item x="12"/>
        <item x="76"/>
        <item x="61"/>
        <item x="89"/>
        <item x="63"/>
        <item x="22"/>
        <item x="8"/>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t="default"/>
      </items>
    </pivotField>
    <pivotField name="Total Price"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Sales Rep" axis="axisRow" compact="0" outline="0" multipleItemSelectionAllowed="1" showAll="0" sortType="ascending">
      <items>
        <item x="239"/>
        <item x="229"/>
        <item x="223"/>
        <item x="466"/>
        <item x="202"/>
        <item x="269"/>
        <item x="254"/>
        <item x="331"/>
        <item x="286"/>
        <item x="144"/>
        <item x="446"/>
        <item x="277"/>
        <item x="317"/>
        <item x="90"/>
        <item x="53"/>
        <item x="424"/>
        <item x="186"/>
        <item x="281"/>
        <item x="181"/>
        <item x="13"/>
        <item x="23"/>
        <item x="422"/>
        <item x="261"/>
        <item x="92"/>
        <item x="166"/>
        <item x="348"/>
        <item x="441"/>
        <item x="451"/>
        <item x="315"/>
        <item x="304"/>
        <item x="192"/>
        <item x="47"/>
        <item x="270"/>
        <item x="327"/>
        <item x="464"/>
        <item x="437"/>
        <item x="97"/>
        <item x="184"/>
        <item x="262"/>
        <item x="185"/>
        <item x="107"/>
        <item x="272"/>
        <item x="14"/>
        <item x="453"/>
        <item x="402"/>
        <item x="190"/>
        <item x="389"/>
        <item x="308"/>
        <item x="217"/>
        <item x="353"/>
        <item x="122"/>
        <item x="206"/>
        <item x="260"/>
        <item x="50"/>
        <item x="94"/>
        <item x="454"/>
        <item x="312"/>
        <item x="429"/>
        <item x="247"/>
        <item x="401"/>
        <item x="342"/>
        <item x="133"/>
        <item x="33"/>
        <item x="126"/>
        <item x="105"/>
        <item x="123"/>
        <item x="189"/>
        <item x="167"/>
        <item x="278"/>
        <item x="86"/>
        <item x="4"/>
        <item x="284"/>
        <item x="219"/>
        <item x="399"/>
        <item x="20"/>
        <item x="363"/>
        <item x="378"/>
        <item x="285"/>
        <item x="72"/>
        <item x="386"/>
        <item x="325"/>
        <item x="138"/>
        <item x="302"/>
        <item x="63"/>
        <item x="102"/>
        <item x="36"/>
        <item x="69"/>
        <item x="326"/>
        <item x="195"/>
        <item x="191"/>
        <item x="414"/>
        <item x="16"/>
        <item x="200"/>
        <item x="249"/>
        <item x="462"/>
        <item x="456"/>
        <item x="19"/>
        <item x="38"/>
        <item x="299"/>
        <item x="154"/>
        <item x="396"/>
        <item x="168"/>
        <item x="415"/>
        <item x="18"/>
        <item x="406"/>
        <item x="194"/>
        <item x="222"/>
        <item x="271"/>
        <item x="109"/>
        <item x="305"/>
        <item x="212"/>
        <item x="59"/>
        <item x="431"/>
        <item x="425"/>
        <item x="159"/>
        <item x="310"/>
        <item x="259"/>
        <item x="66"/>
        <item x="164"/>
        <item x="248"/>
        <item x="2"/>
        <item x="99"/>
        <item x="44"/>
        <item x="457"/>
        <item x="162"/>
        <item x="134"/>
        <item x="400"/>
        <item x="244"/>
        <item x="52"/>
        <item x="409"/>
        <item x="26"/>
        <item x="372"/>
        <item x="321"/>
        <item x="439"/>
        <item x="24"/>
        <item x="205"/>
        <item x="287"/>
        <item x="404"/>
        <item x="416"/>
        <item x="398"/>
        <item x="470"/>
        <item x="209"/>
        <item x="76"/>
        <item x="460"/>
        <item x="421"/>
        <item x="82"/>
        <item x="468"/>
        <item x="360"/>
        <item x="12"/>
        <item x="469"/>
        <item x="282"/>
        <item x="276"/>
        <item x="108"/>
        <item x="294"/>
        <item x="129"/>
        <item x="251"/>
        <item x="215"/>
        <item x="320"/>
        <item x="442"/>
        <item x="375"/>
        <item x="110"/>
        <item x="242"/>
        <item x="111"/>
        <item x="413"/>
        <item x="84"/>
        <item x="93"/>
        <item x="297"/>
        <item x="381"/>
        <item x="395"/>
        <item x="158"/>
        <item x="369"/>
        <item x="455"/>
        <item x="403"/>
        <item x="49"/>
        <item x="5"/>
        <item x="0"/>
        <item x="183"/>
        <item x="476"/>
        <item x="88"/>
        <item x="178"/>
        <item x="21"/>
        <item x="3"/>
        <item x="288"/>
        <item x="232"/>
        <item x="62"/>
        <item x="432"/>
        <item x="420"/>
        <item x="388"/>
        <item x="25"/>
        <item x="364"/>
        <item x="243"/>
        <item x="380"/>
        <item x="221"/>
        <item x="411"/>
        <item x="34"/>
        <item x="449"/>
        <item x="352"/>
        <item x="67"/>
        <item x="366"/>
        <item x="237"/>
        <item x="250"/>
        <item x="201"/>
        <item x="452"/>
        <item x="450"/>
        <item x="118"/>
        <item x="279"/>
        <item x="32"/>
        <item x="291"/>
        <item x="337"/>
        <item x="427"/>
        <item x="359"/>
        <item x="314"/>
        <item x="332"/>
        <item x="443"/>
        <item x="463"/>
        <item x="266"/>
        <item x="177"/>
        <item x="275"/>
        <item x="43"/>
        <item x="17"/>
        <item x="471"/>
        <item x="121"/>
        <item x="146"/>
        <item x="116"/>
        <item x="74"/>
        <item x="143"/>
        <item x="419"/>
        <item x="391"/>
        <item x="365"/>
        <item x="153"/>
        <item x="474"/>
        <item x="1"/>
        <item x="307"/>
        <item x="85"/>
        <item x="435"/>
        <item x="56"/>
        <item x="227"/>
        <item x="9"/>
        <item x="445"/>
        <item x="224"/>
        <item x="226"/>
        <item x="80"/>
        <item x="319"/>
        <item x="120"/>
        <item x="300"/>
        <item x="263"/>
        <item x="298"/>
        <item x="356"/>
        <item x="220"/>
        <item x="145"/>
        <item x="128"/>
        <item x="70"/>
        <item x="444"/>
        <item x="481"/>
        <item x="273"/>
        <item x="350"/>
        <item x="46"/>
        <item x="318"/>
        <item x="323"/>
        <item x="35"/>
        <item x="235"/>
        <item x="10"/>
        <item x="459"/>
        <item x="440"/>
        <item x="78"/>
        <item x="351"/>
        <item x="246"/>
        <item x="339"/>
        <item x="196"/>
        <item x="149"/>
        <item x="330"/>
        <item x="256"/>
        <item x="68"/>
        <item x="115"/>
        <item x="58"/>
        <item x="265"/>
        <item x="303"/>
        <item x="27"/>
        <item x="293"/>
        <item x="176"/>
        <item x="198"/>
        <item x="170"/>
        <item x="171"/>
        <item x="410"/>
        <item x="40"/>
        <item x="292"/>
        <item x="137"/>
        <item x="361"/>
        <item x="438"/>
        <item x="341"/>
        <item x="11"/>
        <item x="405"/>
        <item x="377"/>
        <item x="100"/>
        <item x="213"/>
        <item x="397"/>
        <item x="211"/>
        <item x="393"/>
        <item x="161"/>
        <item x="383"/>
        <item x="119"/>
        <item x="141"/>
        <item x="233"/>
        <item x="430"/>
        <item x="39"/>
        <item x="55"/>
        <item x="28"/>
        <item x="268"/>
        <item x="428"/>
        <item x="387"/>
        <item x="31"/>
        <item x="345"/>
        <item x="135"/>
        <item x="106"/>
        <item x="91"/>
        <item x="467"/>
        <item x="64"/>
        <item x="30"/>
        <item x="433"/>
        <item x="340"/>
        <item x="482"/>
        <item x="258"/>
        <item x="306"/>
        <item x="96"/>
        <item x="264"/>
        <item x="465"/>
        <item x="152"/>
        <item x="160"/>
        <item x="417"/>
        <item x="333"/>
        <item x="73"/>
        <item x="374"/>
        <item x="234"/>
        <item x="257"/>
        <item x="461"/>
        <item x="390"/>
        <item x="113"/>
        <item x="488"/>
        <item x="253"/>
        <item x="98"/>
        <item x="131"/>
        <item x="65"/>
        <item x="392"/>
        <item x="155"/>
        <item x="104"/>
        <item x="283"/>
        <item x="83"/>
        <item x="60"/>
        <item x="478"/>
        <item x="408"/>
        <item x="267"/>
        <item x="157"/>
        <item x="57"/>
        <item x="230"/>
        <item x="112"/>
        <item x="180"/>
        <item x="448"/>
        <item x="214"/>
        <item x="75"/>
        <item x="117"/>
        <item x="37"/>
        <item x="328"/>
        <item x="407"/>
        <item x="7"/>
        <item x="193"/>
        <item x="218"/>
        <item x="245"/>
        <item x="324"/>
        <item x="376"/>
        <item x="384"/>
        <item x="373"/>
        <item x="336"/>
        <item x="172"/>
        <item x="355"/>
        <item x="197"/>
        <item x="241"/>
        <item x="316"/>
        <item x="289"/>
        <item x="343"/>
        <item x="175"/>
        <item x="368"/>
        <item x="89"/>
        <item x="77"/>
        <item x="479"/>
        <item x="346"/>
        <item x="156"/>
        <item x="81"/>
        <item x="204"/>
        <item x="140"/>
        <item x="130"/>
        <item x="101"/>
        <item x="187"/>
        <item x="295"/>
        <item x="151"/>
        <item x="338"/>
        <item x="124"/>
        <item x="472"/>
        <item x="207"/>
        <item x="45"/>
        <item x="347"/>
        <item x="163"/>
        <item x="426"/>
        <item x="51"/>
        <item x="362"/>
        <item x="238"/>
        <item x="127"/>
        <item x="335"/>
        <item x="228"/>
        <item x="203"/>
        <item x="165"/>
        <item x="394"/>
        <item x="385"/>
        <item x="173"/>
        <item x="179"/>
        <item x="132"/>
        <item x="367"/>
        <item x="458"/>
        <item x="475"/>
        <item x="280"/>
        <item x="434"/>
        <item x="147"/>
        <item x="477"/>
        <item x="486"/>
        <item x="240"/>
        <item x="199"/>
        <item x="95"/>
        <item x="487"/>
        <item x="311"/>
        <item x="42"/>
        <item x="216"/>
        <item x="447"/>
        <item x="225"/>
        <item x="371"/>
        <item x="252"/>
        <item x="290"/>
        <item x="357"/>
        <item x="188"/>
        <item x="358"/>
        <item x="8"/>
        <item x="182"/>
        <item x="379"/>
        <item x="301"/>
        <item x="208"/>
        <item x="480"/>
        <item x="484"/>
        <item x="274"/>
        <item x="29"/>
        <item x="423"/>
        <item x="61"/>
        <item x="139"/>
        <item x="79"/>
        <item x="6"/>
        <item x="483"/>
        <item x="354"/>
        <item x="473"/>
        <item x="174"/>
        <item x="148"/>
        <item x="231"/>
        <item x="236"/>
        <item x="103"/>
        <item x="436"/>
        <item x="22"/>
        <item x="322"/>
        <item x="125"/>
        <item x="87"/>
        <item x="334"/>
        <item x="71"/>
        <item x="48"/>
        <item x="210"/>
        <item x="136"/>
        <item x="54"/>
        <item x="169"/>
        <item x="329"/>
        <item x="114"/>
        <item x="309"/>
        <item x="485"/>
        <item x="15"/>
        <item x="382"/>
        <item x="150"/>
        <item x="41"/>
        <item x="142"/>
        <item x="418"/>
        <item x="296"/>
        <item x="349"/>
        <item x="255"/>
        <item x="344"/>
        <item x="412"/>
        <item x="370"/>
        <item x="313"/>
        <item t="default"/>
      </items>
    </pivotField>
    <pivotField name="Payment Method" axis="axisRow" compact="0" outline="0" multipleItemSelectionAllowed="1" showAll="0" sortType="ascending">
      <items>
        <item x="0"/>
        <item x="2"/>
        <item x="1"/>
        <item t="default"/>
      </items>
    </pivotField>
  </pivotFields>
  <rowFields>
    <field x="6"/>
    <field x="2"/>
    <field x="0"/>
    <field x="1"/>
    <field x="7"/>
  </rowFields>
  <dataFields>
    <dataField name="SUM of Total Price"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Purchase date - Year-Month">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Payment Method">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ayment Method_1" cache="SlicerCache_Table_1_Col_5" caption="Payment Method" rowHeight="247650"/>
  <x14:slicer name="Purchase date - Year-Month_2" cache="SlicerCache_Table_1_Col_4" caption="Purchase date - Year-Month" rowHeight="247650"/>
</x14:slicers>
</file>

<file path=xl/tables/table1.xml><?xml version="1.0" encoding="utf-8"?>
<table xmlns="http://schemas.openxmlformats.org/spreadsheetml/2006/main" ref="A2:E3402" displayName="Table_1" name="Table_1" id="1">
  <autoFilter ref="$A$2:$E$3402"/>
  <tableColumns count="5">
    <tableColumn name="Sales Rep" id="1"/>
    <tableColumn name="Product ID" id="2"/>
    <tableColumn name="Customer ID" id="3"/>
    <tableColumn name="Purchase date - Year-Month" id="4"/>
    <tableColumn name="Payment Method"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nt.sc/F3kyiOAEHG-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sheetViews>
  <sheetFormatPr customHeight="1" defaultColWidth="12.63" defaultRowHeight="15.75" outlineLevelCol="1"/>
  <cols>
    <col customWidth="1" min="1" max="1" width="60.5" outlineLevel="1"/>
    <col customWidth="1" min="2" max="2" width="12.0" outlineLevel="1"/>
    <col customWidth="1" min="3" max="3" width="14.25"/>
    <col customWidth="1" min="4" max="5" width="10.38"/>
    <col customWidth="1" min="6" max="6" width="10.13"/>
    <col customWidth="1" min="7" max="7" width="11.25"/>
    <col customWidth="1" min="8" max="8" width="10.75"/>
    <col customWidth="1" min="9" max="9" width="17.13"/>
    <col customWidth="1" min="10" max="10" width="17.88"/>
    <col customWidth="1" min="11" max="11" width="16.13"/>
    <col customWidth="1" min="12" max="12" width="13.63"/>
    <col customWidth="1" min="13" max="13" width="23.75"/>
    <col customWidth="1" min="14" max="14" width="14.13"/>
    <col customWidth="1" min="15" max="15" width="4.25"/>
    <col customWidth="1" min="16" max="16" width="16.5"/>
    <col customWidth="1" min="17" max="17" width="18.88"/>
    <col customWidth="1" min="18" max="18" width="14.5"/>
    <col customWidth="1" min="19" max="19" width="12.88"/>
    <col customWidth="1" min="20" max="21" width="14.13"/>
  </cols>
  <sheetData>
    <row r="1" ht="21.0" customHeight="1">
      <c r="A1" s="1"/>
      <c r="B1" s="2" t="s">
        <v>0</v>
      </c>
      <c r="K1" s="3" t="s">
        <v>1</v>
      </c>
      <c r="M1" s="4"/>
      <c r="N1" s="4"/>
      <c r="O1" s="4"/>
      <c r="P1" s="5" t="s">
        <v>2</v>
      </c>
      <c r="Q1" s="6"/>
      <c r="R1" s="6"/>
      <c r="S1" s="7"/>
      <c r="T1" s="4"/>
      <c r="U1" s="4"/>
    </row>
    <row r="2">
      <c r="A2" s="8" t="s">
        <v>3</v>
      </c>
      <c r="B2" s="9" t="s">
        <v>4</v>
      </c>
      <c r="C2" s="10"/>
      <c r="D2" s="10"/>
      <c r="E2" s="10"/>
      <c r="F2" s="10"/>
      <c r="G2" s="10"/>
      <c r="H2" s="10"/>
      <c r="I2" s="10"/>
      <c r="J2" s="10"/>
      <c r="K2" s="10"/>
      <c r="L2" s="11"/>
      <c r="M2" s="4"/>
      <c r="N2" s="4"/>
      <c r="O2" s="4"/>
      <c r="P2" s="12" t="s">
        <v>5</v>
      </c>
      <c r="Q2" s="13" t="s">
        <v>6</v>
      </c>
      <c r="R2" s="13" t="s">
        <v>7</v>
      </c>
      <c r="S2" s="13" t="s">
        <v>8</v>
      </c>
      <c r="T2" s="4"/>
      <c r="U2" s="4"/>
    </row>
    <row r="3" ht="18.0" customHeight="1">
      <c r="A3" s="14"/>
      <c r="B3" s="15">
        <v>1.0</v>
      </c>
      <c r="C3" s="16" t="s">
        <v>9</v>
      </c>
      <c r="D3" s="6"/>
      <c r="E3" s="6"/>
      <c r="F3" s="6"/>
      <c r="G3" s="6"/>
      <c r="H3" s="6"/>
      <c r="I3" s="6"/>
      <c r="J3" s="6"/>
      <c r="K3" s="17">
        <f>SUMIFS(E14:E1012, H14:H1012, "Francis", I14:I1012, "Credit", C14:C1012, "&gt;=01-Nov-2022", C14:C1012, "&lt;=30-Nov-2022")
</f>
        <v>977</v>
      </c>
      <c r="M3" s="4"/>
      <c r="N3" s="4"/>
      <c r="O3" s="4"/>
      <c r="P3" s="18">
        <f t="shared" ref="P3:P42" si="1">INDEX(D14:D1012, MATCH(S3:S42, B14:B1012, 0))
</f>
        <v>78</v>
      </c>
      <c r="Q3" s="18" t="str">
        <f t="shared" ref="Q3:Q42" si="2">INDEX(H14:H1012, MATCH(S3:S42, B14:B1012, 0))
</f>
        <v>Hali</v>
      </c>
      <c r="R3" s="19">
        <f t="shared" ref="R3:R42" si="3">INDEX(G14:G1012, MATCH(S3:S42, B14:B1012, 0))
</f>
        <v>8253.62</v>
      </c>
      <c r="S3" s="18" t="s">
        <v>10</v>
      </c>
      <c r="T3" s="4"/>
      <c r="U3" s="4"/>
    </row>
    <row r="4" ht="18.0" customHeight="1">
      <c r="A4" s="14"/>
      <c r="B4" s="15">
        <v>2.0</v>
      </c>
      <c r="C4" s="16" t="s">
        <v>11</v>
      </c>
      <c r="D4" s="6"/>
      <c r="E4" s="6"/>
      <c r="F4" s="6"/>
      <c r="G4" s="6"/>
      <c r="H4" s="6"/>
      <c r="I4" s="6"/>
      <c r="J4" s="6"/>
      <c r="K4" s="17">
        <f>MAXIFS(E14:E1012, H14:H1012, "Francis", I14:I1012, "Credit", C14:C1012, MINIFS(C14:C1012, H14:H1012, "Francis", I14:I1012, "Credit"))
</f>
        <v>891</v>
      </c>
      <c r="L4" s="20"/>
      <c r="M4" s="4"/>
      <c r="N4" s="4"/>
      <c r="O4" s="4"/>
      <c r="P4" s="18">
        <f t="shared" si="1"/>
        <v>21</v>
      </c>
      <c r="Q4" s="18" t="str">
        <f t="shared" si="2"/>
        <v>Lee</v>
      </c>
      <c r="R4" s="19">
        <f t="shared" si="3"/>
        <v>8824.54</v>
      </c>
      <c r="S4" s="18" t="s">
        <v>12</v>
      </c>
      <c r="T4" s="4"/>
      <c r="U4" s="4"/>
    </row>
    <row r="5" ht="30.0" customHeight="1">
      <c r="A5" s="14"/>
      <c r="B5" s="15">
        <v>3.0</v>
      </c>
      <c r="C5" s="16" t="s">
        <v>13</v>
      </c>
      <c r="D5" s="6"/>
      <c r="E5" s="6"/>
      <c r="F5" s="6"/>
      <c r="G5" s="6"/>
      <c r="H5" s="6"/>
      <c r="I5" s="6"/>
      <c r="J5" s="6"/>
      <c r="K5" s="17">
        <f t="array" ref="K5">SUMPRODUCT(--(FREQUENCY(IF((D14:D1012&gt;3)*(D14:D1012&lt;100)*(C14:C1012&gt;DATE(2022,6,30)), MATCH(B14:B1012, B14:B1012, 0)), ROW(B14:B1012)-ROW(B14)+1)&gt;0))
</f>
        <v>448</v>
      </c>
      <c r="M5" s="4"/>
      <c r="N5" s="4"/>
      <c r="O5" s="4"/>
      <c r="P5" s="18">
        <f t="shared" si="1"/>
        <v>6</v>
      </c>
      <c r="Q5" s="18" t="str">
        <f t="shared" si="2"/>
        <v>Bryant</v>
      </c>
      <c r="R5" s="19">
        <f t="shared" si="3"/>
        <v>8028.08</v>
      </c>
      <c r="S5" s="18" t="s">
        <v>14</v>
      </c>
      <c r="T5" s="4"/>
      <c r="U5" s="4"/>
    </row>
    <row r="6" ht="18.0" customHeight="1">
      <c r="A6" s="14"/>
      <c r="B6" s="15">
        <v>4.0</v>
      </c>
      <c r="C6" s="21" t="s">
        <v>15</v>
      </c>
      <c r="D6" s="6"/>
      <c r="E6" s="6"/>
      <c r="F6" s="6"/>
      <c r="G6" s="6"/>
      <c r="H6" s="6"/>
      <c r="I6" s="6"/>
      <c r="J6" s="7"/>
      <c r="K6" s="22" t="s">
        <v>16</v>
      </c>
      <c r="M6" s="4"/>
      <c r="N6" s="4"/>
      <c r="O6" s="4"/>
      <c r="P6" s="18">
        <f t="shared" si="1"/>
        <v>38</v>
      </c>
      <c r="Q6" s="18" t="str">
        <f t="shared" si="2"/>
        <v>Iman</v>
      </c>
      <c r="R6" s="19">
        <f t="shared" si="3"/>
        <v>6761.68</v>
      </c>
      <c r="S6" s="18" t="s">
        <v>17</v>
      </c>
      <c r="T6" s="4"/>
      <c r="U6" s="4"/>
    </row>
    <row r="7" ht="18.0" customHeight="1">
      <c r="A7" s="14"/>
      <c r="B7" s="23">
        <v>5.0</v>
      </c>
      <c r="C7" s="24" t="s">
        <v>18</v>
      </c>
      <c r="D7" s="25"/>
      <c r="E7" s="25"/>
      <c r="F7" s="25"/>
      <c r="G7" s="25"/>
      <c r="H7" s="25"/>
      <c r="I7" s="25"/>
      <c r="J7" s="26"/>
      <c r="K7" s="27" t="s">
        <v>19</v>
      </c>
      <c r="M7" s="4"/>
      <c r="N7" s="4"/>
      <c r="O7" s="4"/>
      <c r="P7" s="18">
        <f t="shared" si="1"/>
        <v>12</v>
      </c>
      <c r="Q7" s="18" t="str">
        <f t="shared" si="2"/>
        <v>Omotayo</v>
      </c>
      <c r="R7" s="19">
        <f t="shared" si="3"/>
        <v>6270.47</v>
      </c>
      <c r="S7" s="18" t="s">
        <v>20</v>
      </c>
      <c r="T7" s="4"/>
      <c r="U7" s="4"/>
    </row>
    <row r="8" ht="18.0" customHeight="1">
      <c r="A8" s="14"/>
      <c r="B8" s="28"/>
      <c r="C8" s="10"/>
      <c r="D8" s="10"/>
      <c r="E8" s="10"/>
      <c r="F8" s="10"/>
      <c r="G8" s="10"/>
      <c r="H8" s="10"/>
      <c r="I8" s="10"/>
      <c r="J8" s="28"/>
      <c r="K8" s="28"/>
      <c r="M8" s="4"/>
      <c r="N8" s="4"/>
      <c r="O8" s="4"/>
      <c r="P8" s="18">
        <f t="shared" si="1"/>
        <v>49</v>
      </c>
      <c r="Q8" s="18" t="str">
        <f t="shared" si="2"/>
        <v>Omotayo</v>
      </c>
      <c r="R8" s="19">
        <f t="shared" si="3"/>
        <v>2737.93</v>
      </c>
      <c r="S8" s="18" t="s">
        <v>21</v>
      </c>
      <c r="T8" s="4"/>
      <c r="U8" s="4"/>
    </row>
    <row r="9" ht="45.75" customHeight="1">
      <c r="A9" s="14"/>
      <c r="B9" s="29">
        <v>6.0</v>
      </c>
      <c r="C9" s="30" t="s">
        <v>22</v>
      </c>
      <c r="D9" s="10"/>
      <c r="E9" s="10"/>
      <c r="F9" s="10"/>
      <c r="G9" s="10"/>
      <c r="H9" s="10"/>
      <c r="I9" s="10"/>
      <c r="J9" s="28"/>
      <c r="K9" s="31" t="s">
        <v>23</v>
      </c>
      <c r="M9" s="4"/>
      <c r="N9" s="4"/>
      <c r="O9" s="4"/>
      <c r="P9" s="18">
        <f t="shared" si="1"/>
        <v>60</v>
      </c>
      <c r="Q9" s="18" t="str">
        <f t="shared" si="2"/>
        <v>Dulcea</v>
      </c>
      <c r="R9" s="19">
        <f t="shared" si="3"/>
        <v>1430.24</v>
      </c>
      <c r="S9" s="18" t="s">
        <v>24</v>
      </c>
      <c r="T9" s="4"/>
      <c r="U9" s="4"/>
    </row>
    <row r="10" ht="18.0" customHeight="1">
      <c r="A10" s="14"/>
      <c r="B10" s="32"/>
      <c r="C10" s="32"/>
      <c r="D10" s="32"/>
      <c r="E10" s="32"/>
      <c r="F10" s="32"/>
      <c r="G10" s="32"/>
      <c r="H10" s="32"/>
      <c r="I10" s="32"/>
      <c r="J10" s="32"/>
      <c r="K10" s="32"/>
      <c r="L10" s="32"/>
      <c r="M10" s="4"/>
      <c r="N10" s="4"/>
      <c r="O10" s="4"/>
      <c r="P10" s="18">
        <f t="shared" si="1"/>
        <v>11</v>
      </c>
      <c r="Q10" s="18" t="str">
        <f t="shared" si="2"/>
        <v>Frankie</v>
      </c>
      <c r="R10" s="19">
        <f t="shared" si="3"/>
        <v>5789.53</v>
      </c>
      <c r="S10" s="33" t="s">
        <v>25</v>
      </c>
      <c r="T10" s="4"/>
      <c r="U10" s="4"/>
    </row>
    <row r="11" ht="18.0" customHeight="1">
      <c r="A11" s="14"/>
      <c r="B11" s="34" t="s">
        <v>26</v>
      </c>
      <c r="J11" s="14"/>
      <c r="K11" s="4"/>
      <c r="L11" s="4"/>
      <c r="M11" s="35"/>
      <c r="N11" s="4"/>
      <c r="O11" s="4"/>
      <c r="P11" s="18">
        <f t="shared" si="1"/>
        <v>63</v>
      </c>
      <c r="Q11" s="18" t="str">
        <f t="shared" si="2"/>
        <v>Freedman</v>
      </c>
      <c r="R11" s="19">
        <f t="shared" si="3"/>
        <v>6778.32</v>
      </c>
      <c r="S11" s="33" t="s">
        <v>27</v>
      </c>
      <c r="T11" s="4"/>
      <c r="U11" s="4"/>
    </row>
    <row r="12" ht="18.0" customHeight="1">
      <c r="A12" s="14"/>
      <c r="B12" s="10"/>
      <c r="C12" s="10"/>
      <c r="D12" s="10"/>
      <c r="E12" s="10"/>
      <c r="F12" s="10"/>
      <c r="G12" s="10"/>
      <c r="H12" s="10"/>
      <c r="I12" s="10"/>
      <c r="J12" s="28"/>
      <c r="K12" s="35"/>
      <c r="L12" s="35"/>
      <c r="M12" s="35"/>
      <c r="N12" s="4"/>
      <c r="O12" s="4"/>
      <c r="P12" s="18">
        <f t="shared" si="1"/>
        <v>52</v>
      </c>
      <c r="Q12" s="18" t="str">
        <f t="shared" si="2"/>
        <v>Peyter</v>
      </c>
      <c r="R12" s="19">
        <f t="shared" si="3"/>
        <v>9662.83</v>
      </c>
      <c r="S12" s="33" t="s">
        <v>28</v>
      </c>
      <c r="T12" s="4"/>
      <c r="U12" s="4"/>
    </row>
    <row r="13" ht="18.0" customHeight="1">
      <c r="A13" s="14"/>
      <c r="B13" s="13" t="s">
        <v>8</v>
      </c>
      <c r="C13" s="13" t="s">
        <v>29</v>
      </c>
      <c r="D13" s="13" t="s">
        <v>30</v>
      </c>
      <c r="E13" s="13" t="s">
        <v>31</v>
      </c>
      <c r="F13" s="13" t="s">
        <v>32</v>
      </c>
      <c r="G13" s="13" t="s">
        <v>7</v>
      </c>
      <c r="H13" s="13" t="s">
        <v>6</v>
      </c>
      <c r="I13" s="13" t="s">
        <v>33</v>
      </c>
      <c r="J13" s="12" t="s">
        <v>34</v>
      </c>
      <c r="K13" s="36"/>
      <c r="L13" s="35"/>
      <c r="M13" s="35"/>
      <c r="N13" s="4"/>
      <c r="O13" s="4"/>
      <c r="P13" s="18">
        <f t="shared" si="1"/>
        <v>69</v>
      </c>
      <c r="Q13" s="18" t="str">
        <f t="shared" si="2"/>
        <v>Alisa</v>
      </c>
      <c r="R13" s="19">
        <f t="shared" si="3"/>
        <v>478.56</v>
      </c>
      <c r="S13" s="33" t="s">
        <v>35</v>
      </c>
      <c r="T13" s="4"/>
      <c r="U13" s="4"/>
    </row>
    <row r="14" ht="18.0" customHeight="1">
      <c r="A14" s="14"/>
      <c r="B14" s="37" t="s">
        <v>36</v>
      </c>
      <c r="C14" s="38">
        <v>44757.0</v>
      </c>
      <c r="D14" s="37">
        <v>41.0</v>
      </c>
      <c r="E14" s="37">
        <v>826.0</v>
      </c>
      <c r="F14" s="37">
        <v>154.07</v>
      </c>
      <c r="G14" s="39">
        <v>6832.85</v>
      </c>
      <c r="H14" s="37" t="s">
        <v>37</v>
      </c>
      <c r="I14" s="37" t="s">
        <v>38</v>
      </c>
      <c r="J14" s="37" t="str">
        <f t="shared" ref="J14:J1012" si="4">IFERROR(IF(E14&gt;=VLOOKUP(D14, L$15:N$21, IF(I14="Cash", 2, 3), FALSE), "Yes", "No"), "No")
</f>
        <v>No</v>
      </c>
      <c r="K14" s="35"/>
      <c r="L14" s="35"/>
      <c r="M14" s="35"/>
      <c r="N14" s="4"/>
      <c r="O14" s="4"/>
      <c r="P14" s="18">
        <f t="shared" si="1"/>
        <v>22</v>
      </c>
      <c r="Q14" s="18" t="str">
        <f t="shared" si="2"/>
        <v>Lucian</v>
      </c>
      <c r="R14" s="19">
        <f t="shared" si="3"/>
        <v>5119.77</v>
      </c>
      <c r="S14" s="33" t="s">
        <v>39</v>
      </c>
      <c r="T14" s="4"/>
      <c r="U14" s="4"/>
    </row>
    <row r="15" ht="18.0" customHeight="1">
      <c r="A15" s="14"/>
      <c r="B15" s="37" t="s">
        <v>40</v>
      </c>
      <c r="C15" s="38">
        <v>44806.0</v>
      </c>
      <c r="D15" s="37">
        <v>39.0</v>
      </c>
      <c r="E15" s="37">
        <v>240.0</v>
      </c>
      <c r="F15" s="37">
        <v>199.88</v>
      </c>
      <c r="G15" s="39">
        <v>555.01</v>
      </c>
      <c r="H15" s="37" t="s">
        <v>41</v>
      </c>
      <c r="I15" s="37" t="s">
        <v>42</v>
      </c>
      <c r="J15" s="37" t="str">
        <f t="shared" si="4"/>
        <v>No</v>
      </c>
      <c r="K15" s="40"/>
      <c r="L15" s="41" t="s">
        <v>43</v>
      </c>
      <c r="M15" s="10"/>
      <c r="N15" s="10"/>
      <c r="O15" s="4"/>
      <c r="P15" s="18">
        <f t="shared" si="1"/>
        <v>11</v>
      </c>
      <c r="Q15" s="18" t="str">
        <f t="shared" si="2"/>
        <v>Andros</v>
      </c>
      <c r="R15" s="19">
        <f t="shared" si="3"/>
        <v>7696.86</v>
      </c>
      <c r="S15" s="33" t="s">
        <v>44</v>
      </c>
      <c r="T15" s="4"/>
      <c r="U15" s="4"/>
    </row>
    <row r="16" ht="18.0" customHeight="1">
      <c r="A16" s="14"/>
      <c r="B16" s="37" t="s">
        <v>17</v>
      </c>
      <c r="C16" s="38">
        <v>44678.0</v>
      </c>
      <c r="D16" s="37">
        <v>6.0</v>
      </c>
      <c r="E16" s="37">
        <v>657.0</v>
      </c>
      <c r="F16" s="37">
        <v>193.56</v>
      </c>
      <c r="G16" s="39">
        <v>7378.14</v>
      </c>
      <c r="H16" s="37" t="s">
        <v>45</v>
      </c>
      <c r="I16" s="37" t="s">
        <v>38</v>
      </c>
      <c r="J16" s="37" t="str">
        <f t="shared" si="4"/>
        <v>No</v>
      </c>
      <c r="K16" s="42"/>
      <c r="L16" s="43" t="s">
        <v>30</v>
      </c>
      <c r="M16" s="44" t="s">
        <v>46</v>
      </c>
      <c r="N16" s="45" t="s">
        <v>47</v>
      </c>
      <c r="O16" s="4"/>
      <c r="P16" s="18">
        <f t="shared" si="1"/>
        <v>58</v>
      </c>
      <c r="Q16" s="18" t="str">
        <f t="shared" si="2"/>
        <v>Omotayo</v>
      </c>
      <c r="R16" s="19">
        <f t="shared" si="3"/>
        <v>7522.2</v>
      </c>
      <c r="S16" s="33" t="s">
        <v>48</v>
      </c>
      <c r="T16" s="4"/>
      <c r="U16" s="4"/>
    </row>
    <row r="17" ht="18.0" customHeight="1">
      <c r="A17" s="14"/>
      <c r="B17" s="37" t="s">
        <v>48</v>
      </c>
      <c r="C17" s="38">
        <v>44733.0</v>
      </c>
      <c r="D17" s="37">
        <v>60.0</v>
      </c>
      <c r="E17" s="37">
        <v>819.0</v>
      </c>
      <c r="F17" s="37">
        <v>194.4</v>
      </c>
      <c r="G17" s="39">
        <v>9260.58</v>
      </c>
      <c r="H17" s="37" t="s">
        <v>49</v>
      </c>
      <c r="I17" s="37" t="s">
        <v>50</v>
      </c>
      <c r="J17" s="37" t="str">
        <f t="shared" si="4"/>
        <v>No</v>
      </c>
      <c r="K17" s="42"/>
      <c r="L17" s="46"/>
      <c r="M17" s="28"/>
      <c r="N17" s="46"/>
      <c r="O17" s="4"/>
      <c r="P17" s="18">
        <f t="shared" si="1"/>
        <v>35</v>
      </c>
      <c r="Q17" s="18" t="str">
        <f t="shared" si="2"/>
        <v>Benito</v>
      </c>
      <c r="R17" s="19">
        <f t="shared" si="3"/>
        <v>5764.68</v>
      </c>
      <c r="S17" s="33" t="s">
        <v>51</v>
      </c>
      <c r="T17" s="4"/>
      <c r="U17" s="4"/>
    </row>
    <row r="18" ht="18.0" customHeight="1">
      <c r="A18" s="14"/>
      <c r="B18" s="37" t="s">
        <v>52</v>
      </c>
      <c r="C18" s="38">
        <v>44796.0</v>
      </c>
      <c r="D18" s="37">
        <v>3.0</v>
      </c>
      <c r="E18" s="37">
        <v>920.0</v>
      </c>
      <c r="F18" s="37">
        <v>143.04</v>
      </c>
      <c r="G18" s="39">
        <v>5203.43</v>
      </c>
      <c r="H18" s="37" t="s">
        <v>53</v>
      </c>
      <c r="I18" s="37" t="s">
        <v>50</v>
      </c>
      <c r="J18" s="37" t="str">
        <f t="shared" si="4"/>
        <v>No</v>
      </c>
      <c r="K18" s="47"/>
      <c r="L18" s="48">
        <v>7.0</v>
      </c>
      <c r="M18" s="49">
        <v>200.0</v>
      </c>
      <c r="N18" s="49">
        <v>300.0</v>
      </c>
      <c r="O18" s="4"/>
      <c r="P18" s="18">
        <f t="shared" si="1"/>
        <v>96</v>
      </c>
      <c r="Q18" s="18" t="str">
        <f t="shared" si="2"/>
        <v>Sky</v>
      </c>
      <c r="R18" s="19">
        <f t="shared" si="3"/>
        <v>6018.64</v>
      </c>
      <c r="S18" s="33" t="s">
        <v>54</v>
      </c>
      <c r="T18" s="4"/>
      <c r="U18" s="4"/>
    </row>
    <row r="19" ht="18.0" customHeight="1">
      <c r="A19" s="14"/>
      <c r="B19" s="37" t="s">
        <v>55</v>
      </c>
      <c r="C19" s="38">
        <v>44763.0</v>
      </c>
      <c r="D19" s="37">
        <v>79.0</v>
      </c>
      <c r="E19" s="37">
        <v>185.0</v>
      </c>
      <c r="F19" s="37">
        <v>147.88</v>
      </c>
      <c r="G19" s="39">
        <v>3966.17</v>
      </c>
      <c r="H19" s="37" t="s">
        <v>56</v>
      </c>
      <c r="I19" s="37" t="s">
        <v>50</v>
      </c>
      <c r="J19" s="37" t="str">
        <f t="shared" si="4"/>
        <v>No</v>
      </c>
      <c r="K19" s="47"/>
      <c r="L19" s="48">
        <v>78.0</v>
      </c>
      <c r="M19" s="49">
        <v>300.0</v>
      </c>
      <c r="N19" s="49">
        <v>600.0</v>
      </c>
      <c r="O19" s="4"/>
      <c r="P19" s="18">
        <f t="shared" si="1"/>
        <v>6</v>
      </c>
      <c r="Q19" s="18" t="str">
        <f t="shared" si="2"/>
        <v>Margit</v>
      </c>
      <c r="R19" s="19">
        <f t="shared" si="3"/>
        <v>4531.51</v>
      </c>
      <c r="S19" s="33" t="s">
        <v>57</v>
      </c>
      <c r="T19" s="4"/>
      <c r="U19" s="4"/>
    </row>
    <row r="20" ht="18.0" customHeight="1">
      <c r="A20" s="14"/>
      <c r="B20" s="37" t="s">
        <v>58</v>
      </c>
      <c r="C20" s="38">
        <v>44758.0</v>
      </c>
      <c r="D20" s="37">
        <v>18.0</v>
      </c>
      <c r="E20" s="37">
        <v>391.0</v>
      </c>
      <c r="F20" s="37">
        <v>244.76</v>
      </c>
      <c r="G20" s="39">
        <v>3936.07</v>
      </c>
      <c r="H20" s="37" t="s">
        <v>59</v>
      </c>
      <c r="I20" s="37" t="s">
        <v>50</v>
      </c>
      <c r="J20" s="37" t="str">
        <f t="shared" si="4"/>
        <v>No</v>
      </c>
      <c r="K20" s="47"/>
      <c r="L20" s="48">
        <v>91.0</v>
      </c>
      <c r="M20" s="49">
        <v>400.0</v>
      </c>
      <c r="N20" s="49">
        <v>700.0</v>
      </c>
      <c r="O20" s="4"/>
      <c r="P20" s="18">
        <f t="shared" si="1"/>
        <v>17</v>
      </c>
      <c r="Q20" s="18" t="str">
        <f t="shared" si="2"/>
        <v>Archibaldo</v>
      </c>
      <c r="R20" s="19">
        <f t="shared" si="3"/>
        <v>1559.65</v>
      </c>
      <c r="S20" s="33" t="s">
        <v>60</v>
      </c>
      <c r="T20" s="4"/>
      <c r="U20" s="4"/>
    </row>
    <row r="21" ht="18.0" customHeight="1">
      <c r="A21" s="14"/>
      <c r="B21" s="37" t="s">
        <v>21</v>
      </c>
      <c r="C21" s="38">
        <v>44610.0</v>
      </c>
      <c r="D21" s="37">
        <v>49.0</v>
      </c>
      <c r="E21" s="37">
        <v>833.0</v>
      </c>
      <c r="F21" s="37">
        <v>73.3</v>
      </c>
      <c r="G21" s="39">
        <v>2737.93</v>
      </c>
      <c r="H21" s="37" t="s">
        <v>61</v>
      </c>
      <c r="I21" s="37" t="s">
        <v>42</v>
      </c>
      <c r="J21" s="37" t="str">
        <f t="shared" si="4"/>
        <v>No</v>
      </c>
      <c r="K21" s="47"/>
      <c r="L21" s="48">
        <v>92.0</v>
      </c>
      <c r="M21" s="49">
        <v>400.0</v>
      </c>
      <c r="N21" s="49">
        <v>500.0</v>
      </c>
      <c r="O21" s="4"/>
      <c r="P21" s="18">
        <f t="shared" si="1"/>
        <v>21</v>
      </c>
      <c r="Q21" s="18" t="str">
        <f t="shared" si="2"/>
        <v>Teo</v>
      </c>
      <c r="R21" s="19">
        <f t="shared" si="3"/>
        <v>2293.35</v>
      </c>
      <c r="S21" s="33" t="s">
        <v>21</v>
      </c>
      <c r="T21" s="4"/>
      <c r="U21" s="4"/>
    </row>
    <row r="22" ht="18.0" customHeight="1">
      <c r="A22" s="14"/>
      <c r="B22" s="37" t="s">
        <v>62</v>
      </c>
      <c r="C22" s="38">
        <v>44891.0</v>
      </c>
      <c r="D22" s="37">
        <v>100.0</v>
      </c>
      <c r="E22" s="37">
        <v>145.0</v>
      </c>
      <c r="F22" s="37">
        <v>182.22</v>
      </c>
      <c r="G22" s="39">
        <v>9671.35</v>
      </c>
      <c r="H22" s="37" t="s">
        <v>63</v>
      </c>
      <c r="I22" s="37" t="s">
        <v>42</v>
      </c>
      <c r="J22" s="37" t="str">
        <f t="shared" si="4"/>
        <v>No</v>
      </c>
      <c r="K22" s="35"/>
      <c r="L22" s="35"/>
      <c r="N22" s="4"/>
      <c r="O22" s="4"/>
      <c r="P22" s="18">
        <f t="shared" si="1"/>
        <v>10</v>
      </c>
      <c r="Q22" s="18" t="str">
        <f t="shared" si="2"/>
        <v>Kai</v>
      </c>
      <c r="R22" s="19">
        <f t="shared" si="3"/>
        <v>3326.83</v>
      </c>
      <c r="S22" s="33" t="s">
        <v>64</v>
      </c>
      <c r="T22" s="4"/>
      <c r="U22" s="4"/>
    </row>
    <row r="23" ht="18.0" customHeight="1">
      <c r="A23" s="14"/>
      <c r="B23" s="37" t="s">
        <v>65</v>
      </c>
      <c r="C23" s="38">
        <v>44884.0</v>
      </c>
      <c r="D23" s="37">
        <v>18.0</v>
      </c>
      <c r="E23" s="37">
        <v>745.0</v>
      </c>
      <c r="F23" s="37">
        <v>187.39</v>
      </c>
      <c r="G23" s="39">
        <v>556.58</v>
      </c>
      <c r="H23" s="37" t="s">
        <v>66</v>
      </c>
      <c r="I23" s="37" t="s">
        <v>50</v>
      </c>
      <c r="J23" s="37" t="str">
        <f t="shared" si="4"/>
        <v>No</v>
      </c>
      <c r="K23" s="35"/>
      <c r="L23" s="35"/>
      <c r="N23" s="4"/>
      <c r="O23" s="4"/>
      <c r="P23" s="18">
        <f t="shared" si="1"/>
        <v>21</v>
      </c>
      <c r="Q23" s="18" t="str">
        <f t="shared" si="2"/>
        <v>Teo</v>
      </c>
      <c r="R23" s="19">
        <f t="shared" si="3"/>
        <v>2293.35</v>
      </c>
      <c r="S23" s="33" t="s">
        <v>21</v>
      </c>
      <c r="T23" s="4"/>
      <c r="U23" s="4"/>
    </row>
    <row r="24" ht="18.0" customHeight="1">
      <c r="A24" s="14"/>
      <c r="B24" s="37" t="s">
        <v>67</v>
      </c>
      <c r="C24" s="38">
        <v>44675.0</v>
      </c>
      <c r="D24" s="37">
        <v>22.0</v>
      </c>
      <c r="E24" s="37">
        <v>889.0</v>
      </c>
      <c r="F24" s="37">
        <v>41.05</v>
      </c>
      <c r="G24" s="39">
        <v>9749.34</v>
      </c>
      <c r="H24" s="37" t="s">
        <v>68</v>
      </c>
      <c r="I24" s="37" t="s">
        <v>50</v>
      </c>
      <c r="J24" s="37" t="str">
        <f t="shared" si="4"/>
        <v>No</v>
      </c>
      <c r="K24" s="35"/>
      <c r="L24" s="35"/>
      <c r="N24" s="4"/>
      <c r="O24" s="4"/>
      <c r="P24" s="18">
        <f t="shared" si="1"/>
        <v>80</v>
      </c>
      <c r="Q24" s="18" t="str">
        <f t="shared" si="2"/>
        <v>Amulya</v>
      </c>
      <c r="R24" s="19">
        <f t="shared" si="3"/>
        <v>4345.33</v>
      </c>
      <c r="S24" s="33" t="s">
        <v>69</v>
      </c>
      <c r="T24" s="4"/>
      <c r="U24" s="4"/>
    </row>
    <row r="25" ht="18.0" customHeight="1">
      <c r="A25" s="14"/>
      <c r="B25" s="37" t="s">
        <v>70</v>
      </c>
      <c r="C25" s="38">
        <v>44679.0</v>
      </c>
      <c r="D25" s="37">
        <v>68.0</v>
      </c>
      <c r="E25" s="37">
        <v>871.0</v>
      </c>
      <c r="F25" s="37">
        <v>150.95</v>
      </c>
      <c r="G25" s="39">
        <v>693.62</v>
      </c>
      <c r="H25" s="37" t="s">
        <v>71</v>
      </c>
      <c r="I25" s="37" t="s">
        <v>50</v>
      </c>
      <c r="J25" s="37" t="str">
        <f t="shared" si="4"/>
        <v>No</v>
      </c>
      <c r="K25" s="35"/>
      <c r="L25" s="35"/>
      <c r="N25" s="4"/>
      <c r="O25" s="4"/>
      <c r="P25" s="18">
        <f t="shared" si="1"/>
        <v>39</v>
      </c>
      <c r="Q25" s="18" t="str">
        <f t="shared" si="2"/>
        <v>Iman</v>
      </c>
      <c r="R25" s="19">
        <f t="shared" si="3"/>
        <v>9051.18</v>
      </c>
      <c r="S25" s="33" t="s">
        <v>72</v>
      </c>
      <c r="T25" s="4"/>
      <c r="U25" s="4"/>
    </row>
    <row r="26" ht="18.0" customHeight="1">
      <c r="A26" s="14"/>
      <c r="B26" s="37" t="s">
        <v>73</v>
      </c>
      <c r="C26" s="38">
        <v>44847.0</v>
      </c>
      <c r="D26" s="37">
        <v>47.0</v>
      </c>
      <c r="E26" s="37">
        <v>528.0</v>
      </c>
      <c r="F26" s="37">
        <v>199.62</v>
      </c>
      <c r="G26" s="39">
        <v>5302.58</v>
      </c>
      <c r="H26" s="37" t="s">
        <v>66</v>
      </c>
      <c r="I26" s="37" t="s">
        <v>50</v>
      </c>
      <c r="J26" s="37" t="str">
        <f t="shared" si="4"/>
        <v>No</v>
      </c>
      <c r="K26" s="35"/>
      <c r="L26" s="35"/>
      <c r="N26" s="4"/>
      <c r="O26" s="4"/>
      <c r="P26" s="18">
        <f t="shared" si="1"/>
        <v>32</v>
      </c>
      <c r="Q26" s="18" t="str">
        <f t="shared" si="2"/>
        <v>Delaney</v>
      </c>
      <c r="R26" s="19">
        <f t="shared" si="3"/>
        <v>7240.4</v>
      </c>
      <c r="S26" s="33" t="s">
        <v>36</v>
      </c>
      <c r="T26" s="4"/>
      <c r="U26" s="4"/>
    </row>
    <row r="27" ht="18.0" customHeight="1">
      <c r="A27" s="14"/>
      <c r="B27" s="37" t="s">
        <v>74</v>
      </c>
      <c r="C27" s="38">
        <v>44758.0</v>
      </c>
      <c r="D27" s="37">
        <v>94.0</v>
      </c>
      <c r="E27" s="37">
        <v>868.0</v>
      </c>
      <c r="F27" s="37">
        <v>57.3</v>
      </c>
      <c r="G27" s="39">
        <v>5340.47</v>
      </c>
      <c r="H27" s="37" t="s">
        <v>68</v>
      </c>
      <c r="I27" s="37" t="s">
        <v>42</v>
      </c>
      <c r="J27" s="37" t="str">
        <f t="shared" si="4"/>
        <v>No</v>
      </c>
      <c r="K27" s="35"/>
      <c r="L27" s="35"/>
      <c r="N27" s="4"/>
      <c r="O27" s="4"/>
      <c r="P27" s="18">
        <f t="shared" si="1"/>
        <v>5</v>
      </c>
      <c r="Q27" s="18" t="str">
        <f t="shared" si="2"/>
        <v>Gabriel</v>
      </c>
      <c r="R27" s="19">
        <f t="shared" si="3"/>
        <v>7334.76</v>
      </c>
      <c r="S27" s="33" t="s">
        <v>75</v>
      </c>
      <c r="T27" s="4"/>
      <c r="U27" s="4"/>
    </row>
    <row r="28" ht="18.0" customHeight="1">
      <c r="A28" s="14"/>
      <c r="B28" s="37" t="s">
        <v>76</v>
      </c>
      <c r="C28" s="38">
        <v>44660.0</v>
      </c>
      <c r="D28" s="37">
        <v>49.0</v>
      </c>
      <c r="E28" s="37">
        <v>126.0</v>
      </c>
      <c r="F28" s="37">
        <v>217.73</v>
      </c>
      <c r="G28" s="39">
        <v>7139.85</v>
      </c>
      <c r="H28" s="37" t="s">
        <v>71</v>
      </c>
      <c r="I28" s="37" t="s">
        <v>38</v>
      </c>
      <c r="J28" s="37" t="str">
        <f t="shared" si="4"/>
        <v>No</v>
      </c>
      <c r="K28" s="35"/>
      <c r="L28" s="35"/>
      <c r="N28" s="4"/>
      <c r="O28" s="4"/>
      <c r="P28" s="18">
        <f t="shared" si="1"/>
        <v>17</v>
      </c>
      <c r="Q28" s="18" t="str">
        <f t="shared" si="2"/>
        <v>Bo</v>
      </c>
      <c r="R28" s="19">
        <f t="shared" si="3"/>
        <v>5470.02</v>
      </c>
      <c r="S28" s="33" t="s">
        <v>77</v>
      </c>
      <c r="T28" s="4"/>
      <c r="U28" s="4"/>
    </row>
    <row r="29" ht="18.0" customHeight="1">
      <c r="A29" s="14"/>
      <c r="B29" s="37" t="s">
        <v>78</v>
      </c>
      <c r="C29" s="38">
        <v>44845.0</v>
      </c>
      <c r="D29" s="37">
        <v>84.0</v>
      </c>
      <c r="E29" s="37">
        <v>360.0</v>
      </c>
      <c r="F29" s="37">
        <v>239.39</v>
      </c>
      <c r="G29" s="39">
        <v>7964.01</v>
      </c>
      <c r="H29" s="37" t="s">
        <v>66</v>
      </c>
      <c r="I29" s="37" t="s">
        <v>42</v>
      </c>
      <c r="J29" s="37" t="str">
        <f t="shared" si="4"/>
        <v>No</v>
      </c>
      <c r="K29" s="35"/>
      <c r="L29" s="35"/>
      <c r="N29" s="4"/>
      <c r="O29" s="4"/>
      <c r="P29" s="18">
        <f t="shared" si="1"/>
        <v>59</v>
      </c>
      <c r="Q29" s="18" t="str">
        <f t="shared" si="2"/>
        <v>Francis</v>
      </c>
      <c r="R29" s="19">
        <f t="shared" si="3"/>
        <v>1961.33</v>
      </c>
      <c r="S29" s="33" t="s">
        <v>79</v>
      </c>
      <c r="T29" s="4"/>
      <c r="U29" s="4"/>
    </row>
    <row r="30" ht="18.0" customHeight="1">
      <c r="A30" s="14"/>
      <c r="B30" s="37" t="s">
        <v>80</v>
      </c>
      <c r="C30" s="38">
        <v>44625.0</v>
      </c>
      <c r="D30" s="37">
        <v>37.0</v>
      </c>
      <c r="E30" s="37">
        <v>118.0</v>
      </c>
      <c r="F30" s="37">
        <v>204.59</v>
      </c>
      <c r="G30" s="39">
        <v>1340.45</v>
      </c>
      <c r="H30" s="37" t="s">
        <v>68</v>
      </c>
      <c r="I30" s="37" t="s">
        <v>42</v>
      </c>
      <c r="J30" s="37" t="str">
        <f t="shared" si="4"/>
        <v>No</v>
      </c>
      <c r="K30" s="35"/>
      <c r="L30" s="35"/>
      <c r="N30" s="4"/>
      <c r="O30" s="4"/>
      <c r="P30" s="18">
        <f t="shared" si="1"/>
        <v>34</v>
      </c>
      <c r="Q30" s="18" t="str">
        <f t="shared" si="2"/>
        <v>Toprak</v>
      </c>
      <c r="R30" s="19">
        <f t="shared" si="3"/>
        <v>6899.44</v>
      </c>
      <c r="S30" s="33" t="s">
        <v>81</v>
      </c>
      <c r="T30" s="4"/>
      <c r="U30" s="4"/>
    </row>
    <row r="31" ht="18.0" customHeight="1">
      <c r="A31" s="35"/>
      <c r="B31" s="37" t="s">
        <v>82</v>
      </c>
      <c r="C31" s="38">
        <v>44790.0</v>
      </c>
      <c r="D31" s="37">
        <v>72.0</v>
      </c>
      <c r="E31" s="37">
        <v>968.0</v>
      </c>
      <c r="F31" s="37">
        <v>31.16</v>
      </c>
      <c r="G31" s="39">
        <v>6659.61</v>
      </c>
      <c r="H31" s="37" t="s">
        <v>71</v>
      </c>
      <c r="I31" s="37" t="s">
        <v>42</v>
      </c>
      <c r="J31" s="37" t="str">
        <f t="shared" si="4"/>
        <v>No</v>
      </c>
      <c r="K31" s="35"/>
      <c r="L31" s="35"/>
      <c r="M31" s="35"/>
      <c r="N31" s="4"/>
      <c r="O31" s="4"/>
      <c r="P31" s="18">
        <f t="shared" si="1"/>
        <v>74</v>
      </c>
      <c r="Q31" s="18" t="str">
        <f t="shared" si="2"/>
        <v>Cris</v>
      </c>
      <c r="R31" s="19">
        <f t="shared" si="3"/>
        <v>3368.27</v>
      </c>
      <c r="S31" s="33" t="s">
        <v>83</v>
      </c>
      <c r="T31" s="4"/>
      <c r="U31" s="4"/>
    </row>
    <row r="32" ht="18.0" customHeight="1">
      <c r="A32" s="35"/>
      <c r="B32" s="37" t="s">
        <v>84</v>
      </c>
      <c r="C32" s="38">
        <v>44562.0</v>
      </c>
      <c r="D32" s="37">
        <v>5.0</v>
      </c>
      <c r="E32" s="37">
        <v>600.0</v>
      </c>
      <c r="F32" s="37">
        <v>6.9</v>
      </c>
      <c r="G32" s="39">
        <v>3704.91</v>
      </c>
      <c r="H32" s="37" t="s">
        <v>85</v>
      </c>
      <c r="I32" s="37" t="s">
        <v>42</v>
      </c>
      <c r="J32" s="37" t="str">
        <f t="shared" si="4"/>
        <v>No</v>
      </c>
      <c r="K32" s="35"/>
      <c r="L32" s="35"/>
      <c r="M32" s="35"/>
      <c r="N32" s="4"/>
      <c r="O32" s="4"/>
      <c r="P32" s="18">
        <f t="shared" si="1"/>
        <v>58</v>
      </c>
      <c r="Q32" s="18" t="str">
        <f t="shared" si="2"/>
        <v>Omotayo</v>
      </c>
      <c r="R32" s="19">
        <f t="shared" si="3"/>
        <v>7522.2</v>
      </c>
      <c r="S32" s="33" t="s">
        <v>48</v>
      </c>
      <c r="T32" s="4"/>
      <c r="U32" s="4"/>
    </row>
    <row r="33" ht="18.0" customHeight="1">
      <c r="A33" s="35"/>
      <c r="B33" s="37" t="s">
        <v>86</v>
      </c>
      <c r="C33" s="38">
        <v>44592.0</v>
      </c>
      <c r="D33" s="37">
        <v>72.0</v>
      </c>
      <c r="E33" s="37">
        <v>973.0</v>
      </c>
      <c r="F33" s="37">
        <v>13.64</v>
      </c>
      <c r="G33" s="39">
        <v>7472.71</v>
      </c>
      <c r="H33" s="37" t="s">
        <v>87</v>
      </c>
      <c r="I33" s="37" t="s">
        <v>42</v>
      </c>
      <c r="J33" s="37" t="str">
        <f t="shared" si="4"/>
        <v>No</v>
      </c>
      <c r="K33" s="35"/>
      <c r="L33" s="35"/>
      <c r="M33" s="35"/>
      <c r="N33" s="4"/>
      <c r="O33" s="4"/>
      <c r="P33" s="18">
        <f t="shared" si="1"/>
        <v>82</v>
      </c>
      <c r="Q33" s="18" t="str">
        <f t="shared" si="2"/>
        <v>Bo</v>
      </c>
      <c r="R33" s="19">
        <f t="shared" si="3"/>
        <v>5759.42</v>
      </c>
      <c r="S33" s="33" t="s">
        <v>88</v>
      </c>
      <c r="T33" s="4"/>
      <c r="U33" s="4"/>
    </row>
    <row r="34" ht="18.0" customHeight="1">
      <c r="A34" s="35"/>
      <c r="B34" s="37" t="s">
        <v>89</v>
      </c>
      <c r="C34" s="38">
        <v>44691.0</v>
      </c>
      <c r="D34" s="37">
        <v>7.0</v>
      </c>
      <c r="E34" s="37">
        <v>756.0</v>
      </c>
      <c r="F34" s="37">
        <v>142.52</v>
      </c>
      <c r="G34" s="39">
        <v>267.03</v>
      </c>
      <c r="H34" s="37" t="s">
        <v>37</v>
      </c>
      <c r="I34" s="37" t="s">
        <v>42</v>
      </c>
      <c r="J34" s="37" t="str">
        <f t="shared" si="4"/>
        <v>Yes</v>
      </c>
      <c r="K34" s="35"/>
      <c r="L34" s="35"/>
      <c r="M34" s="35"/>
      <c r="N34" s="4"/>
      <c r="O34" s="4"/>
      <c r="P34" s="18">
        <f t="shared" si="1"/>
        <v>96</v>
      </c>
      <c r="Q34" s="18" t="str">
        <f t="shared" si="2"/>
        <v>Francis</v>
      </c>
      <c r="R34" s="19">
        <f t="shared" si="3"/>
        <v>3467.31</v>
      </c>
      <c r="S34" s="33" t="s">
        <v>90</v>
      </c>
      <c r="T34" s="4"/>
      <c r="U34" s="4"/>
    </row>
    <row r="35" ht="18.0" customHeight="1">
      <c r="A35" s="35"/>
      <c r="B35" s="37" t="s">
        <v>91</v>
      </c>
      <c r="C35" s="38">
        <v>44756.0</v>
      </c>
      <c r="D35" s="37">
        <v>60.0</v>
      </c>
      <c r="E35" s="37">
        <v>863.0</v>
      </c>
      <c r="F35" s="37">
        <v>8.56</v>
      </c>
      <c r="G35" s="39">
        <v>8712.48</v>
      </c>
      <c r="H35" s="37" t="s">
        <v>41</v>
      </c>
      <c r="I35" s="37" t="s">
        <v>42</v>
      </c>
      <c r="J35" s="37" t="str">
        <f t="shared" si="4"/>
        <v>No</v>
      </c>
      <c r="K35" s="35"/>
      <c r="L35" s="35"/>
      <c r="M35" s="35"/>
      <c r="N35" s="4"/>
      <c r="O35" s="4"/>
      <c r="P35" s="18">
        <f t="shared" si="1"/>
        <v>16</v>
      </c>
      <c r="Q35" s="18" t="str">
        <f t="shared" si="2"/>
        <v>Toprak</v>
      </c>
      <c r="R35" s="19">
        <f t="shared" si="3"/>
        <v>3613.72</v>
      </c>
      <c r="S35" s="33" t="s">
        <v>92</v>
      </c>
      <c r="T35" s="4"/>
      <c r="U35" s="4"/>
    </row>
    <row r="36" ht="18.0" customHeight="1">
      <c r="A36" s="35"/>
      <c r="B36" s="37" t="s">
        <v>93</v>
      </c>
      <c r="C36" s="38">
        <v>44863.0</v>
      </c>
      <c r="D36" s="37">
        <v>70.0</v>
      </c>
      <c r="E36" s="37">
        <v>453.0</v>
      </c>
      <c r="F36" s="37">
        <v>87.08</v>
      </c>
      <c r="G36" s="39">
        <v>2355.18</v>
      </c>
      <c r="H36" s="37" t="s">
        <v>45</v>
      </c>
      <c r="I36" s="37" t="s">
        <v>50</v>
      </c>
      <c r="J36" s="37" t="str">
        <f t="shared" si="4"/>
        <v>No</v>
      </c>
      <c r="K36" s="35"/>
      <c r="L36" s="35"/>
      <c r="M36" s="35"/>
      <c r="N36" s="4"/>
      <c r="O36" s="4"/>
      <c r="P36" s="18">
        <f t="shared" si="1"/>
        <v>66</v>
      </c>
      <c r="Q36" s="18" t="str">
        <f t="shared" si="2"/>
        <v>Kai</v>
      </c>
      <c r="R36" s="19">
        <f t="shared" si="3"/>
        <v>7181.23</v>
      </c>
      <c r="S36" s="33" t="s">
        <v>94</v>
      </c>
      <c r="T36" s="4"/>
      <c r="U36" s="4"/>
    </row>
    <row r="37" ht="18.0" customHeight="1">
      <c r="A37" s="35"/>
      <c r="B37" s="37" t="s">
        <v>95</v>
      </c>
      <c r="C37" s="38">
        <v>44630.0</v>
      </c>
      <c r="D37" s="37">
        <v>8.0</v>
      </c>
      <c r="E37" s="37">
        <v>826.0</v>
      </c>
      <c r="F37" s="37">
        <v>98.76</v>
      </c>
      <c r="G37" s="39">
        <v>3704.18</v>
      </c>
      <c r="H37" s="37" t="s">
        <v>49</v>
      </c>
      <c r="I37" s="37" t="s">
        <v>42</v>
      </c>
      <c r="J37" s="37" t="str">
        <f t="shared" si="4"/>
        <v>No</v>
      </c>
      <c r="K37" s="35"/>
      <c r="L37" s="35"/>
      <c r="M37" s="35"/>
      <c r="N37" s="4"/>
      <c r="O37" s="4"/>
      <c r="P37" s="18">
        <f t="shared" si="1"/>
        <v>92</v>
      </c>
      <c r="Q37" s="18" t="str">
        <f t="shared" si="2"/>
        <v>Lee</v>
      </c>
      <c r="R37" s="19">
        <f t="shared" si="3"/>
        <v>4545.54</v>
      </c>
      <c r="S37" s="33" t="s">
        <v>96</v>
      </c>
      <c r="T37" s="4"/>
      <c r="U37" s="4"/>
    </row>
    <row r="38" ht="18.0" customHeight="1">
      <c r="A38" s="35"/>
      <c r="B38" s="37" t="s">
        <v>97</v>
      </c>
      <c r="C38" s="38">
        <v>44606.0</v>
      </c>
      <c r="D38" s="37">
        <v>89.0</v>
      </c>
      <c r="E38" s="37">
        <v>678.0</v>
      </c>
      <c r="F38" s="37">
        <v>14.04</v>
      </c>
      <c r="G38" s="39">
        <v>4783.86</v>
      </c>
      <c r="H38" s="37" t="s">
        <v>53</v>
      </c>
      <c r="I38" s="37" t="s">
        <v>38</v>
      </c>
      <c r="J38" s="37" t="str">
        <f t="shared" si="4"/>
        <v>No</v>
      </c>
      <c r="K38" s="35"/>
      <c r="L38" s="35"/>
      <c r="M38" s="35"/>
      <c r="N38" s="4"/>
      <c r="O38" s="4"/>
      <c r="P38" s="18">
        <f t="shared" si="1"/>
        <v>79</v>
      </c>
      <c r="Q38" s="18" t="str">
        <f t="shared" si="2"/>
        <v>Amulya</v>
      </c>
      <c r="R38" s="19">
        <f t="shared" si="3"/>
        <v>8416.79</v>
      </c>
      <c r="S38" s="33" t="s">
        <v>98</v>
      </c>
      <c r="T38" s="4"/>
      <c r="U38" s="4"/>
    </row>
    <row r="39" ht="18.0" customHeight="1">
      <c r="A39" s="35"/>
      <c r="B39" s="37" t="s">
        <v>99</v>
      </c>
      <c r="C39" s="38">
        <v>44827.0</v>
      </c>
      <c r="D39" s="37">
        <v>30.0</v>
      </c>
      <c r="E39" s="37">
        <v>329.0</v>
      </c>
      <c r="F39" s="37">
        <v>230.37</v>
      </c>
      <c r="G39" s="39">
        <v>9685.66</v>
      </c>
      <c r="H39" s="37" t="s">
        <v>56</v>
      </c>
      <c r="I39" s="37" t="s">
        <v>38</v>
      </c>
      <c r="J39" s="37" t="str">
        <f t="shared" si="4"/>
        <v>No</v>
      </c>
      <c r="K39" s="35"/>
      <c r="L39" s="35"/>
      <c r="M39" s="35"/>
      <c r="N39" s="4"/>
      <c r="O39" s="4"/>
      <c r="P39" s="18">
        <f t="shared" si="1"/>
        <v>64</v>
      </c>
      <c r="Q39" s="18" t="str">
        <f t="shared" si="2"/>
        <v>Frankie</v>
      </c>
      <c r="R39" s="19">
        <f t="shared" si="3"/>
        <v>6938.79</v>
      </c>
      <c r="S39" s="33" t="s">
        <v>100</v>
      </c>
      <c r="T39" s="4"/>
      <c r="U39" s="4"/>
    </row>
    <row r="40" ht="18.0" customHeight="1">
      <c r="A40" s="35"/>
      <c r="B40" s="37" t="s">
        <v>101</v>
      </c>
      <c r="C40" s="38">
        <v>44857.0</v>
      </c>
      <c r="D40" s="37">
        <v>60.0</v>
      </c>
      <c r="E40" s="37">
        <v>251.0</v>
      </c>
      <c r="F40" s="37">
        <v>184.96</v>
      </c>
      <c r="G40" s="39">
        <v>3302.72</v>
      </c>
      <c r="H40" s="37" t="s">
        <v>59</v>
      </c>
      <c r="I40" s="37" t="s">
        <v>42</v>
      </c>
      <c r="J40" s="37" t="str">
        <f t="shared" si="4"/>
        <v>No</v>
      </c>
      <c r="K40" s="35"/>
      <c r="L40" s="35"/>
      <c r="M40" s="35"/>
      <c r="N40" s="4"/>
      <c r="O40" s="4"/>
      <c r="P40" s="18">
        <f t="shared" si="1"/>
        <v>64</v>
      </c>
      <c r="Q40" s="18" t="str">
        <f t="shared" si="2"/>
        <v>Lee</v>
      </c>
      <c r="R40" s="19">
        <f t="shared" si="3"/>
        <v>2079.08</v>
      </c>
      <c r="S40" s="33" t="s">
        <v>102</v>
      </c>
      <c r="T40" s="4"/>
      <c r="U40" s="4"/>
    </row>
    <row r="41" ht="18.0" customHeight="1">
      <c r="A41" s="35"/>
      <c r="B41" s="37" t="s">
        <v>103</v>
      </c>
      <c r="C41" s="38">
        <v>44827.0</v>
      </c>
      <c r="D41" s="37">
        <v>99.0</v>
      </c>
      <c r="E41" s="37">
        <v>922.0</v>
      </c>
      <c r="F41" s="37">
        <v>92.0</v>
      </c>
      <c r="G41" s="39">
        <v>2198.03</v>
      </c>
      <c r="H41" s="37" t="s">
        <v>61</v>
      </c>
      <c r="I41" s="37" t="s">
        <v>38</v>
      </c>
      <c r="J41" s="37" t="str">
        <f t="shared" si="4"/>
        <v>No</v>
      </c>
      <c r="K41" s="35"/>
      <c r="L41" s="35"/>
      <c r="M41" s="35"/>
      <c r="N41" s="4"/>
      <c r="O41" s="4"/>
      <c r="P41" s="18">
        <f t="shared" si="1"/>
        <v>36</v>
      </c>
      <c r="Q41" s="18" t="str">
        <f t="shared" si="2"/>
        <v>Lindsy</v>
      </c>
      <c r="R41" s="19">
        <f t="shared" si="3"/>
        <v>3102.26</v>
      </c>
      <c r="S41" s="33" t="s">
        <v>104</v>
      </c>
      <c r="T41" s="4"/>
      <c r="U41" s="4"/>
    </row>
    <row r="42" ht="18.0" customHeight="1">
      <c r="A42" s="35"/>
      <c r="B42" s="37" t="s">
        <v>105</v>
      </c>
      <c r="C42" s="38">
        <v>44761.0</v>
      </c>
      <c r="D42" s="37">
        <v>59.0</v>
      </c>
      <c r="E42" s="37">
        <v>679.0</v>
      </c>
      <c r="F42" s="37">
        <v>70.88</v>
      </c>
      <c r="G42" s="39">
        <v>2946.6</v>
      </c>
      <c r="H42" s="37" t="s">
        <v>63</v>
      </c>
      <c r="I42" s="37" t="s">
        <v>42</v>
      </c>
      <c r="J42" s="37" t="str">
        <f t="shared" si="4"/>
        <v>No</v>
      </c>
      <c r="K42" s="35"/>
      <c r="L42" s="35"/>
      <c r="M42" s="35"/>
      <c r="N42" s="4"/>
      <c r="O42" s="4"/>
      <c r="P42" s="18">
        <f t="shared" si="1"/>
        <v>32</v>
      </c>
      <c r="Q42" s="18" t="str">
        <f t="shared" si="2"/>
        <v>Amulya</v>
      </c>
      <c r="R42" s="19">
        <f t="shared" si="3"/>
        <v>1749.11</v>
      </c>
      <c r="S42" s="33" t="s">
        <v>106</v>
      </c>
      <c r="T42" s="4"/>
      <c r="U42" s="4"/>
    </row>
    <row r="43" ht="18.0" customHeight="1">
      <c r="A43" s="35"/>
      <c r="B43" s="37" t="s">
        <v>107</v>
      </c>
      <c r="C43" s="38">
        <v>44577.0</v>
      </c>
      <c r="D43" s="37">
        <v>10.0</v>
      </c>
      <c r="E43" s="37">
        <v>201.0</v>
      </c>
      <c r="F43" s="37">
        <v>34.61</v>
      </c>
      <c r="G43" s="39">
        <v>8426.33</v>
      </c>
      <c r="H43" s="37" t="s">
        <v>66</v>
      </c>
      <c r="I43" s="37" t="s">
        <v>38</v>
      </c>
      <c r="J43" s="37" t="str">
        <f t="shared" si="4"/>
        <v>No</v>
      </c>
      <c r="K43" s="35"/>
      <c r="L43" s="35"/>
      <c r="M43" s="35"/>
      <c r="N43" s="4"/>
      <c r="O43" s="4"/>
      <c r="P43" s="18"/>
      <c r="Q43" s="50"/>
      <c r="R43" s="50"/>
      <c r="S43" s="51"/>
      <c r="T43" s="4"/>
      <c r="U43" s="4"/>
    </row>
    <row r="44" ht="18.0" customHeight="1">
      <c r="A44" s="35"/>
      <c r="B44" s="37" t="s">
        <v>108</v>
      </c>
      <c r="C44" s="38">
        <v>44612.0</v>
      </c>
      <c r="D44" s="37">
        <v>52.0</v>
      </c>
      <c r="E44" s="37">
        <v>679.0</v>
      </c>
      <c r="F44" s="37">
        <v>134.77</v>
      </c>
      <c r="G44" s="39">
        <v>9890.17</v>
      </c>
      <c r="H44" s="37" t="s">
        <v>68</v>
      </c>
      <c r="I44" s="37" t="s">
        <v>38</v>
      </c>
      <c r="J44" s="37" t="str">
        <f t="shared" si="4"/>
        <v>No</v>
      </c>
      <c r="K44" s="35"/>
      <c r="L44" s="35"/>
      <c r="M44" s="35"/>
      <c r="N44" s="4"/>
      <c r="O44" s="4"/>
      <c r="P44" s="50"/>
      <c r="Q44" s="50"/>
      <c r="R44" s="50"/>
      <c r="S44" s="51"/>
      <c r="T44" s="4"/>
      <c r="U44" s="4"/>
    </row>
    <row r="45" ht="18.0" customHeight="1">
      <c r="A45" s="35"/>
      <c r="B45" s="37" t="s">
        <v>109</v>
      </c>
      <c r="C45" s="38">
        <v>44596.0</v>
      </c>
      <c r="D45" s="37">
        <v>75.0</v>
      </c>
      <c r="E45" s="37">
        <v>379.0</v>
      </c>
      <c r="F45" s="37">
        <v>118.58</v>
      </c>
      <c r="G45" s="39">
        <v>3730.32</v>
      </c>
      <c r="H45" s="37" t="s">
        <v>71</v>
      </c>
      <c r="I45" s="37" t="s">
        <v>50</v>
      </c>
      <c r="J45" s="37" t="str">
        <f t="shared" si="4"/>
        <v>No</v>
      </c>
      <c r="K45" s="35"/>
      <c r="L45" s="35"/>
      <c r="M45" s="35"/>
      <c r="N45" s="4"/>
      <c r="O45" s="4"/>
      <c r="P45" s="50"/>
      <c r="Q45" s="50"/>
      <c r="R45" s="50"/>
      <c r="S45" s="51"/>
      <c r="T45" s="4"/>
      <c r="U45" s="4"/>
    </row>
    <row r="46" ht="18.0" customHeight="1">
      <c r="A46" s="35"/>
      <c r="B46" s="37" t="s">
        <v>110</v>
      </c>
      <c r="C46" s="38">
        <v>44737.0</v>
      </c>
      <c r="D46" s="37">
        <v>16.0</v>
      </c>
      <c r="E46" s="37">
        <v>679.0</v>
      </c>
      <c r="F46" s="37">
        <v>244.31</v>
      </c>
      <c r="G46" s="39">
        <v>5859.89</v>
      </c>
      <c r="H46" s="37" t="s">
        <v>111</v>
      </c>
      <c r="I46" s="37" t="s">
        <v>38</v>
      </c>
      <c r="J46" s="37" t="str">
        <f t="shared" si="4"/>
        <v>No</v>
      </c>
      <c r="K46" s="35"/>
      <c r="L46" s="35"/>
      <c r="M46" s="35"/>
      <c r="N46" s="4"/>
      <c r="O46" s="4"/>
      <c r="P46" s="50"/>
      <c r="Q46" s="50"/>
      <c r="R46" s="50"/>
      <c r="S46" s="51"/>
      <c r="T46" s="4"/>
      <c r="U46" s="4"/>
    </row>
    <row r="47" ht="18.0" customHeight="1">
      <c r="A47" s="35"/>
      <c r="B47" s="37" t="s">
        <v>112</v>
      </c>
      <c r="C47" s="38">
        <v>44582.0</v>
      </c>
      <c r="D47" s="37">
        <v>57.0</v>
      </c>
      <c r="E47" s="37">
        <v>185.0</v>
      </c>
      <c r="F47" s="37">
        <v>167.1</v>
      </c>
      <c r="G47" s="39">
        <v>3837.62</v>
      </c>
      <c r="H47" s="37" t="s">
        <v>113</v>
      </c>
      <c r="I47" s="37" t="s">
        <v>38</v>
      </c>
      <c r="J47" s="37" t="str">
        <f t="shared" si="4"/>
        <v>No</v>
      </c>
      <c r="K47" s="35"/>
      <c r="L47" s="35"/>
      <c r="M47" s="35"/>
      <c r="N47" s="4"/>
      <c r="O47" s="4"/>
      <c r="P47" s="50"/>
      <c r="Q47" s="50"/>
      <c r="R47" s="50"/>
      <c r="S47" s="51"/>
      <c r="T47" s="4"/>
      <c r="U47" s="4"/>
    </row>
    <row r="48" ht="18.0" customHeight="1">
      <c r="A48" s="35"/>
      <c r="B48" s="37" t="s">
        <v>114</v>
      </c>
      <c r="C48" s="38">
        <v>44664.0</v>
      </c>
      <c r="D48" s="37">
        <v>42.0</v>
      </c>
      <c r="E48" s="37">
        <v>197.0</v>
      </c>
      <c r="F48" s="37">
        <v>64.35</v>
      </c>
      <c r="G48" s="39">
        <v>1532.36</v>
      </c>
      <c r="H48" s="37" t="s">
        <v>115</v>
      </c>
      <c r="I48" s="37" t="s">
        <v>42</v>
      </c>
      <c r="J48" s="37" t="str">
        <f t="shared" si="4"/>
        <v>No</v>
      </c>
      <c r="K48" s="35"/>
      <c r="L48" s="35"/>
      <c r="M48" s="35"/>
      <c r="N48" s="4"/>
      <c r="O48" s="4"/>
      <c r="P48" s="50"/>
      <c r="Q48" s="50"/>
      <c r="R48" s="50"/>
      <c r="S48" s="51"/>
      <c r="T48" s="4"/>
      <c r="U48" s="4"/>
    </row>
    <row r="49" ht="18.0" customHeight="1">
      <c r="A49" s="35"/>
      <c r="B49" s="37" t="s">
        <v>116</v>
      </c>
      <c r="C49" s="38">
        <v>44581.0</v>
      </c>
      <c r="D49" s="37">
        <v>53.0</v>
      </c>
      <c r="E49" s="37">
        <v>784.0</v>
      </c>
      <c r="F49" s="37">
        <v>224.74</v>
      </c>
      <c r="G49" s="39">
        <v>4099.98</v>
      </c>
      <c r="H49" s="37" t="s">
        <v>117</v>
      </c>
      <c r="I49" s="37" t="s">
        <v>38</v>
      </c>
      <c r="J49" s="37" t="str">
        <f t="shared" si="4"/>
        <v>No</v>
      </c>
      <c r="K49" s="35"/>
      <c r="L49" s="35"/>
      <c r="M49" s="35"/>
      <c r="N49" s="4"/>
      <c r="O49" s="4"/>
      <c r="P49" s="50"/>
      <c r="Q49" s="50"/>
      <c r="R49" s="50"/>
      <c r="S49" s="51"/>
      <c r="T49" s="4"/>
      <c r="U49" s="4"/>
    </row>
    <row r="50" ht="18.0" customHeight="1">
      <c r="A50" s="35"/>
      <c r="B50" s="37" t="s">
        <v>118</v>
      </c>
      <c r="C50" s="38">
        <v>44830.0</v>
      </c>
      <c r="D50" s="37">
        <v>1.0</v>
      </c>
      <c r="E50" s="37">
        <v>554.0</v>
      </c>
      <c r="F50" s="37">
        <v>39.23</v>
      </c>
      <c r="G50" s="39">
        <v>3913.15</v>
      </c>
      <c r="H50" s="37" t="s">
        <v>119</v>
      </c>
      <c r="I50" s="37" t="s">
        <v>42</v>
      </c>
      <c r="J50" s="37" t="str">
        <f t="shared" si="4"/>
        <v>No</v>
      </c>
      <c r="K50" s="35"/>
      <c r="L50" s="35"/>
      <c r="M50" s="35"/>
      <c r="N50" s="4"/>
      <c r="O50" s="4"/>
      <c r="P50" s="50"/>
      <c r="Q50" s="50"/>
      <c r="R50" s="50"/>
      <c r="S50" s="51"/>
      <c r="T50" s="4"/>
      <c r="U50" s="4"/>
    </row>
    <row r="51" ht="18.0" customHeight="1">
      <c r="A51" s="35"/>
      <c r="B51" s="37" t="s">
        <v>120</v>
      </c>
      <c r="C51" s="38">
        <v>44629.0</v>
      </c>
      <c r="D51" s="37">
        <v>86.0</v>
      </c>
      <c r="E51" s="37">
        <v>584.0</v>
      </c>
      <c r="F51" s="37">
        <v>222.45</v>
      </c>
      <c r="G51" s="39">
        <v>8271.93</v>
      </c>
      <c r="H51" s="37" t="s">
        <v>121</v>
      </c>
      <c r="I51" s="37" t="s">
        <v>50</v>
      </c>
      <c r="J51" s="37" t="str">
        <f t="shared" si="4"/>
        <v>No</v>
      </c>
      <c r="K51" s="35"/>
      <c r="L51" s="35"/>
      <c r="M51" s="35"/>
      <c r="N51" s="4"/>
      <c r="O51" s="4"/>
      <c r="P51" s="50"/>
      <c r="Q51" s="50"/>
      <c r="R51" s="50"/>
      <c r="S51" s="51"/>
      <c r="T51" s="4"/>
      <c r="U51" s="4"/>
    </row>
    <row r="52" ht="18.0" customHeight="1">
      <c r="A52" s="35"/>
      <c r="B52" s="37" t="s">
        <v>122</v>
      </c>
      <c r="C52" s="38">
        <v>44607.0</v>
      </c>
      <c r="D52" s="37">
        <v>31.0</v>
      </c>
      <c r="E52" s="37">
        <v>38.0</v>
      </c>
      <c r="F52" s="37">
        <v>14.01</v>
      </c>
      <c r="G52" s="39">
        <v>9226.24</v>
      </c>
      <c r="H52" s="37" t="s">
        <v>123</v>
      </c>
      <c r="I52" s="37" t="s">
        <v>38</v>
      </c>
      <c r="J52" s="37" t="str">
        <f t="shared" si="4"/>
        <v>No</v>
      </c>
      <c r="K52" s="35"/>
      <c r="L52" s="35"/>
      <c r="M52" s="35"/>
      <c r="N52" s="4"/>
      <c r="O52" s="4"/>
      <c r="P52" s="50"/>
      <c r="Q52" s="50"/>
      <c r="R52" s="50"/>
      <c r="S52" s="51"/>
      <c r="T52" s="4"/>
      <c r="U52" s="4"/>
    </row>
    <row r="53" ht="18.0" customHeight="1">
      <c r="A53" s="35"/>
      <c r="B53" s="37" t="s">
        <v>124</v>
      </c>
      <c r="C53" s="38">
        <v>44703.0</v>
      </c>
      <c r="D53" s="37">
        <v>91.0</v>
      </c>
      <c r="E53" s="37">
        <v>146.0</v>
      </c>
      <c r="F53" s="37">
        <v>120.93</v>
      </c>
      <c r="G53" s="39">
        <v>4333.59</v>
      </c>
      <c r="H53" s="37" t="s">
        <v>125</v>
      </c>
      <c r="I53" s="37" t="s">
        <v>38</v>
      </c>
      <c r="J53" s="37" t="str">
        <f t="shared" si="4"/>
        <v>No</v>
      </c>
      <c r="K53" s="35"/>
      <c r="L53" s="35"/>
      <c r="M53" s="35"/>
      <c r="N53" s="4"/>
      <c r="O53" s="4"/>
      <c r="P53" s="50"/>
      <c r="Q53" s="50"/>
      <c r="R53" s="50"/>
      <c r="S53" s="51"/>
      <c r="T53" s="4"/>
      <c r="U53" s="4"/>
    </row>
    <row r="54" ht="18.0" customHeight="1">
      <c r="A54" s="35"/>
      <c r="B54" s="37" t="s">
        <v>126</v>
      </c>
      <c r="C54" s="38">
        <v>44838.0</v>
      </c>
      <c r="D54" s="37">
        <v>28.0</v>
      </c>
      <c r="E54" s="37">
        <v>964.0</v>
      </c>
      <c r="F54" s="37">
        <v>233.62</v>
      </c>
      <c r="G54" s="39">
        <v>2974.52</v>
      </c>
      <c r="H54" s="37" t="s">
        <v>87</v>
      </c>
      <c r="I54" s="37" t="s">
        <v>42</v>
      </c>
      <c r="J54" s="37" t="str">
        <f t="shared" si="4"/>
        <v>No</v>
      </c>
      <c r="K54" s="35"/>
      <c r="L54" s="35"/>
      <c r="M54" s="35"/>
      <c r="N54" s="4"/>
      <c r="O54" s="4"/>
      <c r="P54" s="50"/>
      <c r="Q54" s="50"/>
      <c r="R54" s="50"/>
      <c r="S54" s="51"/>
      <c r="T54" s="4"/>
      <c r="U54" s="4"/>
    </row>
    <row r="55" ht="18.0" customHeight="1">
      <c r="A55" s="35"/>
      <c r="B55" s="37" t="s">
        <v>127</v>
      </c>
      <c r="C55" s="38">
        <v>44913.0</v>
      </c>
      <c r="D55" s="37">
        <v>80.0</v>
      </c>
      <c r="E55" s="37">
        <v>598.0</v>
      </c>
      <c r="F55" s="37">
        <v>145.52</v>
      </c>
      <c r="G55" s="39">
        <v>7411.17</v>
      </c>
      <c r="H55" s="37" t="s">
        <v>37</v>
      </c>
      <c r="I55" s="37" t="s">
        <v>50</v>
      </c>
      <c r="J55" s="37" t="str">
        <f t="shared" si="4"/>
        <v>No</v>
      </c>
      <c r="K55" s="35"/>
      <c r="L55" s="35"/>
      <c r="M55" s="35"/>
      <c r="N55" s="4"/>
      <c r="O55" s="4"/>
      <c r="P55" s="50"/>
      <c r="Q55" s="50"/>
      <c r="R55" s="50"/>
      <c r="S55" s="51"/>
      <c r="T55" s="4"/>
      <c r="U55" s="4"/>
    </row>
    <row r="56" ht="18.0" customHeight="1">
      <c r="A56" s="35"/>
      <c r="B56" s="37" t="s">
        <v>17</v>
      </c>
      <c r="C56" s="38">
        <v>44874.0</v>
      </c>
      <c r="D56" s="37">
        <v>38.0</v>
      </c>
      <c r="E56" s="37">
        <v>404.0</v>
      </c>
      <c r="F56" s="37">
        <v>23.29</v>
      </c>
      <c r="G56" s="39">
        <v>6761.68</v>
      </c>
      <c r="H56" s="37" t="s">
        <v>41</v>
      </c>
      <c r="I56" s="37" t="s">
        <v>42</v>
      </c>
      <c r="J56" s="37" t="str">
        <f t="shared" si="4"/>
        <v>No</v>
      </c>
      <c r="K56" s="35"/>
      <c r="L56" s="35"/>
      <c r="M56" s="35"/>
      <c r="N56" s="4"/>
      <c r="O56" s="4"/>
      <c r="P56" s="50"/>
      <c r="Q56" s="50"/>
      <c r="R56" s="50"/>
      <c r="S56" s="51"/>
      <c r="T56" s="4"/>
      <c r="U56" s="4"/>
    </row>
    <row r="57" ht="18.0" customHeight="1">
      <c r="A57" s="35"/>
      <c r="B57" s="37" t="s">
        <v>128</v>
      </c>
      <c r="C57" s="38">
        <v>44868.0</v>
      </c>
      <c r="D57" s="37">
        <v>100.0</v>
      </c>
      <c r="E57" s="37">
        <v>894.0</v>
      </c>
      <c r="F57" s="37">
        <v>70.09</v>
      </c>
      <c r="G57" s="39">
        <v>1898.31</v>
      </c>
      <c r="H57" s="37" t="s">
        <v>45</v>
      </c>
      <c r="I57" s="37" t="s">
        <v>42</v>
      </c>
      <c r="J57" s="37" t="str">
        <f t="shared" si="4"/>
        <v>No</v>
      </c>
      <c r="K57" s="35"/>
      <c r="L57" s="35"/>
      <c r="M57" s="35"/>
      <c r="N57" s="4"/>
      <c r="O57" s="4"/>
      <c r="P57" s="50"/>
      <c r="Q57" s="50"/>
      <c r="R57" s="50"/>
      <c r="S57" s="51"/>
      <c r="T57" s="4"/>
      <c r="U57" s="4"/>
    </row>
    <row r="58" ht="18.0" customHeight="1">
      <c r="A58" s="35"/>
      <c r="B58" s="37" t="s">
        <v>129</v>
      </c>
      <c r="C58" s="38">
        <v>44873.0</v>
      </c>
      <c r="D58" s="37">
        <v>11.0</v>
      </c>
      <c r="E58" s="37">
        <v>445.0</v>
      </c>
      <c r="F58" s="37">
        <v>47.43</v>
      </c>
      <c r="G58" s="39">
        <v>4293.84</v>
      </c>
      <c r="H58" s="37" t="s">
        <v>49</v>
      </c>
      <c r="I58" s="37" t="s">
        <v>50</v>
      </c>
      <c r="J58" s="37" t="str">
        <f t="shared" si="4"/>
        <v>No</v>
      </c>
      <c r="K58" s="35"/>
      <c r="L58" s="35"/>
      <c r="M58" s="35"/>
      <c r="N58" s="4"/>
      <c r="O58" s="4"/>
      <c r="P58" s="50"/>
      <c r="Q58" s="50"/>
      <c r="R58" s="50"/>
      <c r="S58" s="51"/>
      <c r="T58" s="4"/>
      <c r="U58" s="4"/>
    </row>
    <row r="59" ht="18.0" customHeight="1">
      <c r="A59" s="35"/>
      <c r="B59" s="37" t="s">
        <v>130</v>
      </c>
      <c r="C59" s="38">
        <v>44714.0</v>
      </c>
      <c r="D59" s="37">
        <v>86.0</v>
      </c>
      <c r="E59" s="37">
        <v>508.0</v>
      </c>
      <c r="F59" s="37">
        <v>211.84</v>
      </c>
      <c r="G59" s="39">
        <v>6506.59</v>
      </c>
      <c r="H59" s="37" t="s">
        <v>53</v>
      </c>
      <c r="I59" s="37" t="s">
        <v>42</v>
      </c>
      <c r="J59" s="37" t="str">
        <f t="shared" si="4"/>
        <v>No</v>
      </c>
      <c r="K59" s="35"/>
      <c r="L59" s="35"/>
      <c r="M59" s="35"/>
      <c r="N59" s="4"/>
      <c r="O59" s="4"/>
      <c r="P59" s="50"/>
      <c r="Q59" s="50"/>
      <c r="R59" s="50"/>
      <c r="S59" s="51"/>
      <c r="T59" s="4"/>
      <c r="U59" s="4"/>
    </row>
    <row r="60" ht="18.0" customHeight="1">
      <c r="A60" s="35"/>
      <c r="B60" s="37" t="s">
        <v>131</v>
      </c>
      <c r="C60" s="38">
        <v>44594.0</v>
      </c>
      <c r="D60" s="37">
        <v>66.0</v>
      </c>
      <c r="E60" s="37">
        <v>544.0</v>
      </c>
      <c r="F60" s="37">
        <v>210.51</v>
      </c>
      <c r="G60" s="39">
        <v>5783.01</v>
      </c>
      <c r="H60" s="37" t="s">
        <v>56</v>
      </c>
      <c r="I60" s="37" t="s">
        <v>50</v>
      </c>
      <c r="J60" s="37" t="str">
        <f t="shared" si="4"/>
        <v>No</v>
      </c>
      <c r="K60" s="35"/>
      <c r="L60" s="35"/>
      <c r="M60" s="35"/>
      <c r="N60" s="4"/>
      <c r="O60" s="4"/>
      <c r="P60" s="50"/>
      <c r="Q60" s="50"/>
      <c r="R60" s="50"/>
      <c r="S60" s="51"/>
      <c r="T60" s="4"/>
      <c r="U60" s="4"/>
    </row>
    <row r="61" ht="18.0" customHeight="1">
      <c r="A61" s="35"/>
      <c r="B61" s="37" t="s">
        <v>132</v>
      </c>
      <c r="C61" s="38">
        <v>44892.0</v>
      </c>
      <c r="D61" s="37">
        <v>77.0</v>
      </c>
      <c r="E61" s="37">
        <v>7.0</v>
      </c>
      <c r="F61" s="37">
        <v>66.45</v>
      </c>
      <c r="G61" s="39">
        <v>3606.73</v>
      </c>
      <c r="H61" s="37" t="s">
        <v>59</v>
      </c>
      <c r="I61" s="37" t="s">
        <v>38</v>
      </c>
      <c r="J61" s="37" t="str">
        <f t="shared" si="4"/>
        <v>No</v>
      </c>
      <c r="K61" s="35"/>
      <c r="L61" s="35"/>
      <c r="M61" s="35"/>
      <c r="N61" s="4"/>
      <c r="O61" s="4"/>
      <c r="P61" s="50"/>
      <c r="Q61" s="50"/>
      <c r="R61" s="50"/>
      <c r="S61" s="51"/>
      <c r="T61" s="4"/>
      <c r="U61" s="4"/>
    </row>
    <row r="62" ht="18.0" customHeight="1">
      <c r="A62" s="35"/>
      <c r="B62" s="37" t="s">
        <v>133</v>
      </c>
      <c r="C62" s="38">
        <v>44643.0</v>
      </c>
      <c r="D62" s="37">
        <v>94.0</v>
      </c>
      <c r="E62" s="37">
        <v>586.0</v>
      </c>
      <c r="F62" s="37">
        <v>183.67</v>
      </c>
      <c r="G62" s="39">
        <v>9880.41</v>
      </c>
      <c r="H62" s="37" t="s">
        <v>61</v>
      </c>
      <c r="I62" s="37" t="s">
        <v>50</v>
      </c>
      <c r="J62" s="37" t="str">
        <f t="shared" si="4"/>
        <v>No</v>
      </c>
      <c r="K62" s="35"/>
      <c r="L62" s="35"/>
      <c r="M62" s="35"/>
      <c r="N62" s="4"/>
      <c r="O62" s="4"/>
      <c r="P62" s="50"/>
      <c r="Q62" s="50"/>
      <c r="R62" s="50"/>
      <c r="S62" s="51"/>
      <c r="T62" s="4"/>
      <c r="U62" s="4"/>
    </row>
    <row r="63" ht="18.0" customHeight="1">
      <c r="A63" s="35"/>
      <c r="B63" s="37" t="s">
        <v>21</v>
      </c>
      <c r="C63" s="38">
        <v>44573.0</v>
      </c>
      <c r="D63" s="37">
        <v>21.0</v>
      </c>
      <c r="E63" s="37">
        <v>309.0</v>
      </c>
      <c r="F63" s="37">
        <v>212.47</v>
      </c>
      <c r="G63" s="39">
        <v>2293.35</v>
      </c>
      <c r="H63" s="37" t="s">
        <v>63</v>
      </c>
      <c r="I63" s="37" t="s">
        <v>50</v>
      </c>
      <c r="J63" s="37" t="str">
        <f t="shared" si="4"/>
        <v>No</v>
      </c>
      <c r="K63" s="35"/>
      <c r="L63" s="35"/>
      <c r="M63" s="35"/>
      <c r="N63" s="4"/>
      <c r="O63" s="4"/>
      <c r="P63" s="50"/>
      <c r="Q63" s="50"/>
      <c r="R63" s="50"/>
      <c r="S63" s="51"/>
      <c r="T63" s="4"/>
      <c r="U63" s="4"/>
    </row>
    <row r="64" ht="18.0" customHeight="1">
      <c r="A64" s="35"/>
      <c r="B64" s="37" t="s">
        <v>134</v>
      </c>
      <c r="C64" s="38">
        <v>44863.0</v>
      </c>
      <c r="D64" s="37">
        <v>31.0</v>
      </c>
      <c r="E64" s="37">
        <v>15.0</v>
      </c>
      <c r="F64" s="37">
        <v>111.64</v>
      </c>
      <c r="G64" s="39">
        <v>7242.81</v>
      </c>
      <c r="H64" s="37" t="s">
        <v>66</v>
      </c>
      <c r="I64" s="37" t="s">
        <v>38</v>
      </c>
      <c r="J64" s="37" t="str">
        <f t="shared" si="4"/>
        <v>No</v>
      </c>
      <c r="K64" s="35"/>
      <c r="L64" s="35"/>
      <c r="M64" s="35"/>
      <c r="N64" s="4"/>
      <c r="O64" s="4"/>
      <c r="P64" s="50"/>
      <c r="Q64" s="50"/>
      <c r="R64" s="50"/>
      <c r="S64" s="51"/>
      <c r="T64" s="4"/>
      <c r="U64" s="4"/>
    </row>
    <row r="65" ht="18.0" customHeight="1">
      <c r="A65" s="35"/>
      <c r="B65" s="37" t="s">
        <v>135</v>
      </c>
      <c r="C65" s="38">
        <v>44903.0</v>
      </c>
      <c r="D65" s="37">
        <v>68.0</v>
      </c>
      <c r="E65" s="37">
        <v>896.0</v>
      </c>
      <c r="F65" s="37">
        <v>98.6</v>
      </c>
      <c r="G65" s="39">
        <v>7933.07</v>
      </c>
      <c r="H65" s="37" t="s">
        <v>68</v>
      </c>
      <c r="I65" s="37" t="s">
        <v>50</v>
      </c>
      <c r="J65" s="37" t="str">
        <f t="shared" si="4"/>
        <v>No</v>
      </c>
      <c r="K65" s="35"/>
      <c r="L65" s="35"/>
      <c r="M65" s="35"/>
      <c r="N65" s="4"/>
      <c r="O65" s="4"/>
      <c r="P65" s="50"/>
      <c r="Q65" s="50"/>
      <c r="R65" s="50"/>
      <c r="S65" s="51"/>
      <c r="T65" s="4"/>
      <c r="U65" s="4"/>
    </row>
    <row r="66" ht="18.0" customHeight="1">
      <c r="A66" s="35"/>
      <c r="B66" s="37" t="s">
        <v>136</v>
      </c>
      <c r="C66" s="38">
        <v>44703.0</v>
      </c>
      <c r="D66" s="37">
        <v>27.0</v>
      </c>
      <c r="E66" s="37">
        <v>257.0</v>
      </c>
      <c r="F66" s="37">
        <v>36.94</v>
      </c>
      <c r="G66" s="39">
        <v>8714.85</v>
      </c>
      <c r="H66" s="37" t="s">
        <v>71</v>
      </c>
      <c r="I66" s="37" t="s">
        <v>42</v>
      </c>
      <c r="J66" s="37" t="str">
        <f t="shared" si="4"/>
        <v>No</v>
      </c>
      <c r="K66" s="35"/>
      <c r="L66" s="35"/>
      <c r="M66" s="35"/>
      <c r="N66" s="4"/>
      <c r="O66" s="4"/>
      <c r="P66" s="50"/>
      <c r="Q66" s="50"/>
      <c r="R66" s="50"/>
      <c r="S66" s="51"/>
      <c r="T66" s="4"/>
      <c r="U66" s="4"/>
    </row>
    <row r="67" ht="18.0" customHeight="1">
      <c r="A67" s="35"/>
      <c r="B67" s="37" t="s">
        <v>137</v>
      </c>
      <c r="C67" s="38">
        <v>44757.0</v>
      </c>
      <c r="D67" s="37">
        <v>2.0</v>
      </c>
      <c r="E67" s="37">
        <v>505.0</v>
      </c>
      <c r="F67" s="37">
        <v>173.42</v>
      </c>
      <c r="G67" s="39">
        <v>453.3</v>
      </c>
      <c r="H67" s="37" t="s">
        <v>138</v>
      </c>
      <c r="I67" s="37" t="s">
        <v>50</v>
      </c>
      <c r="J67" s="37" t="str">
        <f t="shared" si="4"/>
        <v>No</v>
      </c>
      <c r="K67" s="35"/>
      <c r="L67" s="35"/>
      <c r="M67" s="35"/>
      <c r="N67" s="4"/>
      <c r="O67" s="4"/>
      <c r="P67" s="50"/>
      <c r="Q67" s="50"/>
      <c r="R67" s="50"/>
      <c r="S67" s="51"/>
      <c r="T67" s="4"/>
      <c r="U67" s="4"/>
    </row>
    <row r="68" ht="18.0" customHeight="1">
      <c r="A68" s="35"/>
      <c r="B68" s="37" t="s">
        <v>139</v>
      </c>
      <c r="C68" s="38">
        <v>44622.0</v>
      </c>
      <c r="D68" s="37">
        <v>71.0</v>
      </c>
      <c r="E68" s="37">
        <v>944.0</v>
      </c>
      <c r="F68" s="37">
        <v>72.49</v>
      </c>
      <c r="G68" s="39">
        <v>846.39</v>
      </c>
      <c r="H68" s="37" t="s">
        <v>140</v>
      </c>
      <c r="I68" s="37" t="s">
        <v>50</v>
      </c>
      <c r="J68" s="37" t="str">
        <f t="shared" si="4"/>
        <v>No</v>
      </c>
      <c r="K68" s="35"/>
      <c r="L68" s="35"/>
      <c r="M68" s="35"/>
      <c r="N68" s="4"/>
      <c r="O68" s="4"/>
      <c r="P68" s="50"/>
      <c r="Q68" s="50"/>
      <c r="R68" s="50"/>
      <c r="S68" s="51"/>
      <c r="T68" s="4"/>
      <c r="U68" s="4"/>
    </row>
    <row r="69" ht="18.0" customHeight="1">
      <c r="A69" s="35"/>
      <c r="B69" s="37" t="s">
        <v>141</v>
      </c>
      <c r="C69" s="38">
        <v>44895.0</v>
      </c>
      <c r="D69" s="37">
        <v>34.0</v>
      </c>
      <c r="E69" s="37">
        <v>269.0</v>
      </c>
      <c r="F69" s="37">
        <v>65.46</v>
      </c>
      <c r="G69" s="39">
        <v>9046.05</v>
      </c>
      <c r="H69" s="37" t="s">
        <v>142</v>
      </c>
      <c r="I69" s="37" t="s">
        <v>42</v>
      </c>
      <c r="J69" s="37" t="str">
        <f t="shared" si="4"/>
        <v>No</v>
      </c>
      <c r="K69" s="35"/>
      <c r="L69" s="35"/>
      <c r="M69" s="35"/>
      <c r="N69" s="4"/>
      <c r="O69" s="4"/>
      <c r="P69" s="50"/>
      <c r="Q69" s="50"/>
      <c r="R69" s="50"/>
      <c r="S69" s="51"/>
      <c r="T69" s="4"/>
      <c r="U69" s="4"/>
    </row>
    <row r="70" ht="18.0" customHeight="1">
      <c r="A70" s="35"/>
      <c r="B70" s="37" t="s">
        <v>143</v>
      </c>
      <c r="C70" s="38">
        <v>44840.0</v>
      </c>
      <c r="D70" s="37">
        <v>69.0</v>
      </c>
      <c r="E70" s="37">
        <v>565.0</v>
      </c>
      <c r="F70" s="37">
        <v>20.26</v>
      </c>
      <c r="G70" s="39">
        <v>9943.6</v>
      </c>
      <c r="H70" s="37" t="s">
        <v>144</v>
      </c>
      <c r="I70" s="37" t="s">
        <v>38</v>
      </c>
      <c r="J70" s="37" t="str">
        <f t="shared" si="4"/>
        <v>No</v>
      </c>
      <c r="K70" s="35"/>
      <c r="L70" s="35"/>
      <c r="M70" s="35"/>
      <c r="N70" s="4"/>
      <c r="O70" s="4"/>
      <c r="P70" s="50"/>
      <c r="Q70" s="50"/>
      <c r="R70" s="50"/>
      <c r="S70" s="51"/>
      <c r="T70" s="4"/>
      <c r="U70" s="4"/>
    </row>
    <row r="71" ht="18.0" customHeight="1">
      <c r="A71" s="35"/>
      <c r="B71" s="37" t="s">
        <v>36</v>
      </c>
      <c r="C71" s="38">
        <v>44863.0</v>
      </c>
      <c r="D71" s="37">
        <v>32.0</v>
      </c>
      <c r="E71" s="37">
        <v>950.0</v>
      </c>
      <c r="F71" s="37">
        <v>34.95</v>
      </c>
      <c r="G71" s="39">
        <v>7240.4</v>
      </c>
      <c r="H71" s="37" t="s">
        <v>145</v>
      </c>
      <c r="I71" s="37" t="s">
        <v>50</v>
      </c>
      <c r="J71" s="37" t="str">
        <f t="shared" si="4"/>
        <v>No</v>
      </c>
      <c r="K71" s="35"/>
      <c r="L71" s="35"/>
      <c r="M71" s="35"/>
      <c r="N71" s="4"/>
      <c r="O71" s="4"/>
      <c r="P71" s="50"/>
      <c r="Q71" s="50"/>
      <c r="R71" s="50"/>
      <c r="S71" s="51"/>
      <c r="T71" s="4"/>
      <c r="U71" s="4"/>
    </row>
    <row r="72" ht="18.0" customHeight="1">
      <c r="A72" s="35"/>
      <c r="B72" s="37" t="s">
        <v>146</v>
      </c>
      <c r="C72" s="38">
        <v>44844.0</v>
      </c>
      <c r="D72" s="37">
        <v>48.0</v>
      </c>
      <c r="E72" s="37">
        <v>189.0</v>
      </c>
      <c r="F72" s="37">
        <v>30.52</v>
      </c>
      <c r="G72" s="39">
        <v>3998.87</v>
      </c>
      <c r="H72" s="37" t="s">
        <v>147</v>
      </c>
      <c r="I72" s="37" t="s">
        <v>50</v>
      </c>
      <c r="J72" s="37" t="str">
        <f t="shared" si="4"/>
        <v>No</v>
      </c>
      <c r="K72" s="35"/>
      <c r="L72" s="35"/>
      <c r="M72" s="35"/>
      <c r="N72" s="4"/>
      <c r="O72" s="4"/>
      <c r="P72" s="50"/>
      <c r="Q72" s="50"/>
      <c r="R72" s="50"/>
      <c r="S72" s="51"/>
      <c r="T72" s="4"/>
      <c r="U72" s="4"/>
    </row>
    <row r="73" ht="18.0" customHeight="1">
      <c r="A73" s="35"/>
      <c r="B73" s="37" t="s">
        <v>148</v>
      </c>
      <c r="C73" s="38">
        <v>44851.0</v>
      </c>
      <c r="D73" s="37">
        <v>62.0</v>
      </c>
      <c r="E73" s="37">
        <v>337.0</v>
      </c>
      <c r="F73" s="37">
        <v>175.45</v>
      </c>
      <c r="G73" s="39">
        <v>7252.66</v>
      </c>
      <c r="H73" s="37" t="s">
        <v>87</v>
      </c>
      <c r="I73" s="37" t="s">
        <v>38</v>
      </c>
      <c r="J73" s="37" t="str">
        <f t="shared" si="4"/>
        <v>No</v>
      </c>
      <c r="K73" s="35"/>
      <c r="L73" s="35"/>
      <c r="M73" s="35"/>
      <c r="N73" s="4"/>
      <c r="O73" s="4"/>
      <c r="P73" s="50"/>
      <c r="Q73" s="50"/>
      <c r="R73" s="50"/>
      <c r="S73" s="51"/>
      <c r="T73" s="4"/>
      <c r="U73" s="4"/>
    </row>
    <row r="74" ht="18.0" customHeight="1">
      <c r="A74" s="35"/>
      <c r="B74" s="37" t="s">
        <v>40</v>
      </c>
      <c r="C74" s="38">
        <v>44581.0</v>
      </c>
      <c r="D74" s="37">
        <v>39.0</v>
      </c>
      <c r="E74" s="37">
        <v>591.0</v>
      </c>
      <c r="F74" s="37">
        <v>137.68</v>
      </c>
      <c r="G74" s="39">
        <v>4791.44</v>
      </c>
      <c r="H74" s="37" t="s">
        <v>37</v>
      </c>
      <c r="I74" s="37" t="s">
        <v>38</v>
      </c>
      <c r="J74" s="37" t="str">
        <f t="shared" si="4"/>
        <v>No</v>
      </c>
      <c r="K74" s="35"/>
      <c r="L74" s="35"/>
      <c r="M74" s="35"/>
      <c r="N74" s="4"/>
      <c r="O74" s="4"/>
      <c r="P74" s="50"/>
      <c r="Q74" s="50"/>
      <c r="R74" s="50"/>
      <c r="S74" s="51"/>
      <c r="T74" s="4"/>
      <c r="U74" s="4"/>
    </row>
    <row r="75" ht="18.0" customHeight="1">
      <c r="A75" s="35"/>
      <c r="B75" s="37" t="s">
        <v>149</v>
      </c>
      <c r="C75" s="38">
        <v>44698.0</v>
      </c>
      <c r="D75" s="37">
        <v>68.0</v>
      </c>
      <c r="E75" s="37">
        <v>719.0</v>
      </c>
      <c r="F75" s="37">
        <v>162.59</v>
      </c>
      <c r="G75" s="39">
        <v>4910.26</v>
      </c>
      <c r="H75" s="37" t="s">
        <v>41</v>
      </c>
      <c r="I75" s="37" t="s">
        <v>50</v>
      </c>
      <c r="J75" s="37" t="str">
        <f t="shared" si="4"/>
        <v>No</v>
      </c>
      <c r="K75" s="35"/>
      <c r="L75" s="35"/>
      <c r="M75" s="35"/>
      <c r="N75" s="4"/>
      <c r="O75" s="4"/>
      <c r="P75" s="50"/>
      <c r="Q75" s="50"/>
      <c r="R75" s="50"/>
      <c r="S75" s="51"/>
      <c r="T75" s="4"/>
      <c r="U75" s="4"/>
    </row>
    <row r="76" ht="18.0" customHeight="1">
      <c r="A76" s="35"/>
      <c r="B76" s="37" t="s">
        <v>17</v>
      </c>
      <c r="C76" s="38">
        <v>44709.0</v>
      </c>
      <c r="D76" s="37">
        <v>59.0</v>
      </c>
      <c r="E76" s="37">
        <v>385.0</v>
      </c>
      <c r="F76" s="37">
        <v>240.08</v>
      </c>
      <c r="G76" s="39">
        <v>5265.58</v>
      </c>
      <c r="H76" s="37" t="s">
        <v>45</v>
      </c>
      <c r="I76" s="37" t="s">
        <v>50</v>
      </c>
      <c r="J76" s="37" t="str">
        <f t="shared" si="4"/>
        <v>No</v>
      </c>
      <c r="K76" s="35"/>
      <c r="L76" s="35"/>
      <c r="M76" s="35"/>
      <c r="N76" s="4"/>
      <c r="O76" s="4"/>
      <c r="P76" s="50"/>
      <c r="Q76" s="50"/>
      <c r="R76" s="50"/>
      <c r="S76" s="51"/>
      <c r="T76" s="4"/>
      <c r="U76" s="4"/>
    </row>
    <row r="77" ht="18.0" customHeight="1">
      <c r="A77" s="35"/>
      <c r="B77" s="37" t="s">
        <v>150</v>
      </c>
      <c r="C77" s="38">
        <v>44691.0</v>
      </c>
      <c r="D77" s="37">
        <v>26.0</v>
      </c>
      <c r="E77" s="37">
        <v>666.0</v>
      </c>
      <c r="F77" s="37">
        <v>233.38</v>
      </c>
      <c r="G77" s="39">
        <v>2882.65</v>
      </c>
      <c r="H77" s="37" t="s">
        <v>49</v>
      </c>
      <c r="I77" s="37" t="s">
        <v>42</v>
      </c>
      <c r="J77" s="37" t="str">
        <f t="shared" si="4"/>
        <v>No</v>
      </c>
      <c r="K77" s="35"/>
      <c r="L77" s="35"/>
      <c r="M77" s="35"/>
      <c r="N77" s="4"/>
      <c r="O77" s="4"/>
      <c r="P77" s="50"/>
      <c r="Q77" s="50"/>
      <c r="R77" s="50"/>
      <c r="S77" s="51"/>
      <c r="T77" s="4"/>
      <c r="U77" s="4"/>
    </row>
    <row r="78" ht="18.0" customHeight="1">
      <c r="A78" s="35"/>
      <c r="B78" s="37" t="s">
        <v>151</v>
      </c>
      <c r="C78" s="38">
        <v>44887.0</v>
      </c>
      <c r="D78" s="37">
        <v>64.0</v>
      </c>
      <c r="E78" s="37">
        <v>713.0</v>
      </c>
      <c r="F78" s="37">
        <v>165.03</v>
      </c>
      <c r="G78" s="39">
        <v>1710.37</v>
      </c>
      <c r="H78" s="37" t="s">
        <v>53</v>
      </c>
      <c r="I78" s="37" t="s">
        <v>50</v>
      </c>
      <c r="J78" s="37" t="str">
        <f t="shared" si="4"/>
        <v>No</v>
      </c>
      <c r="K78" s="35"/>
      <c r="L78" s="35"/>
      <c r="M78" s="35"/>
      <c r="N78" s="4"/>
      <c r="O78" s="4"/>
      <c r="P78" s="50"/>
      <c r="Q78" s="50"/>
      <c r="R78" s="50"/>
      <c r="S78" s="51"/>
      <c r="T78" s="4"/>
      <c r="U78" s="4"/>
    </row>
    <row r="79" ht="18.0" customHeight="1">
      <c r="A79" s="35"/>
      <c r="B79" s="37" t="s">
        <v>152</v>
      </c>
      <c r="C79" s="38">
        <v>44768.0</v>
      </c>
      <c r="D79" s="37">
        <v>6.0</v>
      </c>
      <c r="E79" s="37">
        <v>38.0</v>
      </c>
      <c r="F79" s="37">
        <v>34.37</v>
      </c>
      <c r="G79" s="39">
        <v>6240.85</v>
      </c>
      <c r="H79" s="37" t="s">
        <v>56</v>
      </c>
      <c r="I79" s="37" t="s">
        <v>42</v>
      </c>
      <c r="J79" s="37" t="str">
        <f t="shared" si="4"/>
        <v>No</v>
      </c>
      <c r="K79" s="35"/>
      <c r="L79" s="35"/>
      <c r="M79" s="35"/>
      <c r="N79" s="4"/>
      <c r="O79" s="4"/>
      <c r="P79" s="50"/>
      <c r="Q79" s="50"/>
      <c r="R79" s="50"/>
      <c r="S79" s="51"/>
      <c r="T79" s="4"/>
      <c r="U79" s="4"/>
    </row>
    <row r="80" ht="18.0" customHeight="1">
      <c r="A80" s="35"/>
      <c r="B80" s="37" t="s">
        <v>153</v>
      </c>
      <c r="C80" s="38">
        <v>44807.0</v>
      </c>
      <c r="D80" s="37">
        <v>73.0</v>
      </c>
      <c r="E80" s="37">
        <v>370.0</v>
      </c>
      <c r="F80" s="37">
        <v>172.64</v>
      </c>
      <c r="G80" s="39">
        <v>3068.98</v>
      </c>
      <c r="H80" s="37" t="s">
        <v>59</v>
      </c>
      <c r="I80" s="37" t="s">
        <v>38</v>
      </c>
      <c r="J80" s="37" t="str">
        <f t="shared" si="4"/>
        <v>No</v>
      </c>
      <c r="K80" s="35"/>
      <c r="L80" s="35"/>
      <c r="M80" s="35"/>
      <c r="N80" s="4"/>
      <c r="O80" s="4"/>
      <c r="P80" s="50"/>
      <c r="Q80" s="50"/>
      <c r="R80" s="50"/>
      <c r="S80" s="51"/>
      <c r="T80" s="4"/>
      <c r="U80" s="4"/>
    </row>
    <row r="81" ht="18.0" customHeight="1">
      <c r="A81" s="35"/>
      <c r="B81" s="37" t="s">
        <v>48</v>
      </c>
      <c r="C81" s="38">
        <v>44565.0</v>
      </c>
      <c r="D81" s="37">
        <v>58.0</v>
      </c>
      <c r="E81" s="37">
        <v>861.0</v>
      </c>
      <c r="F81" s="37">
        <v>36.24</v>
      </c>
      <c r="G81" s="39">
        <v>7522.2</v>
      </c>
      <c r="H81" s="37" t="s">
        <v>61</v>
      </c>
      <c r="I81" s="37" t="s">
        <v>50</v>
      </c>
      <c r="J81" s="37" t="str">
        <f t="shared" si="4"/>
        <v>No</v>
      </c>
      <c r="K81" s="35"/>
      <c r="L81" s="35"/>
      <c r="M81" s="35"/>
      <c r="N81" s="4"/>
      <c r="O81" s="4"/>
      <c r="P81" s="50"/>
      <c r="Q81" s="50"/>
      <c r="R81" s="50"/>
      <c r="S81" s="51"/>
      <c r="T81" s="4"/>
      <c r="U81" s="4"/>
    </row>
    <row r="82" ht="18.0" customHeight="1">
      <c r="A82" s="35"/>
      <c r="B82" s="37" t="s">
        <v>154</v>
      </c>
      <c r="C82" s="38">
        <v>44890.0</v>
      </c>
      <c r="D82" s="37">
        <v>41.0</v>
      </c>
      <c r="E82" s="37">
        <v>900.0</v>
      </c>
      <c r="F82" s="37">
        <v>185.44</v>
      </c>
      <c r="G82" s="39">
        <v>5221.47</v>
      </c>
      <c r="H82" s="37" t="s">
        <v>63</v>
      </c>
      <c r="I82" s="37" t="s">
        <v>42</v>
      </c>
      <c r="J82" s="37" t="str">
        <f t="shared" si="4"/>
        <v>No</v>
      </c>
      <c r="K82" s="35"/>
      <c r="L82" s="35"/>
      <c r="M82" s="35"/>
      <c r="N82" s="4"/>
      <c r="O82" s="4"/>
      <c r="P82" s="50"/>
      <c r="Q82" s="50"/>
      <c r="R82" s="50"/>
      <c r="S82" s="51"/>
      <c r="T82" s="4"/>
      <c r="U82" s="4"/>
    </row>
    <row r="83" ht="18.0" customHeight="1">
      <c r="A83" s="35"/>
      <c r="B83" s="37" t="s">
        <v>155</v>
      </c>
      <c r="C83" s="38">
        <v>44815.0</v>
      </c>
      <c r="D83" s="37">
        <v>1.0</v>
      </c>
      <c r="E83" s="37">
        <v>127.0</v>
      </c>
      <c r="F83" s="37">
        <v>7.4</v>
      </c>
      <c r="G83" s="39">
        <v>9118.84</v>
      </c>
      <c r="H83" s="37" t="s">
        <v>66</v>
      </c>
      <c r="I83" s="37" t="s">
        <v>50</v>
      </c>
      <c r="J83" s="37" t="str">
        <f t="shared" si="4"/>
        <v>No</v>
      </c>
      <c r="K83" s="35"/>
      <c r="L83" s="35"/>
      <c r="M83" s="35"/>
      <c r="N83" s="4"/>
      <c r="O83" s="4"/>
      <c r="P83" s="50"/>
      <c r="Q83" s="50"/>
      <c r="R83" s="50"/>
      <c r="S83" s="51"/>
      <c r="T83" s="4"/>
      <c r="U83" s="4"/>
    </row>
    <row r="84" ht="18.0" customHeight="1">
      <c r="A84" s="35"/>
      <c r="B84" s="37" t="s">
        <v>156</v>
      </c>
      <c r="C84" s="38">
        <v>44562.0</v>
      </c>
      <c r="D84" s="37">
        <v>62.0</v>
      </c>
      <c r="E84" s="37">
        <v>766.0</v>
      </c>
      <c r="F84" s="37">
        <v>201.33</v>
      </c>
      <c r="G84" s="39">
        <v>107.03</v>
      </c>
      <c r="H84" s="37" t="s">
        <v>68</v>
      </c>
      <c r="I84" s="37" t="s">
        <v>38</v>
      </c>
      <c r="J84" s="37" t="str">
        <f t="shared" si="4"/>
        <v>No</v>
      </c>
      <c r="K84" s="35"/>
      <c r="L84" s="35"/>
      <c r="M84" s="35"/>
      <c r="N84" s="4"/>
      <c r="O84" s="4"/>
      <c r="P84" s="50"/>
      <c r="Q84" s="50"/>
      <c r="R84" s="50"/>
      <c r="S84" s="51"/>
      <c r="T84" s="4"/>
      <c r="U84" s="4"/>
    </row>
    <row r="85" ht="18.0" customHeight="1">
      <c r="A85" s="35"/>
      <c r="B85" s="37" t="s">
        <v>157</v>
      </c>
      <c r="C85" s="38">
        <v>44756.0</v>
      </c>
      <c r="D85" s="37">
        <v>52.0</v>
      </c>
      <c r="E85" s="37">
        <v>516.0</v>
      </c>
      <c r="F85" s="37">
        <v>154.16</v>
      </c>
      <c r="G85" s="39">
        <v>8546.11</v>
      </c>
      <c r="H85" s="37" t="s">
        <v>71</v>
      </c>
      <c r="I85" s="37" t="s">
        <v>50</v>
      </c>
      <c r="J85" s="37" t="str">
        <f t="shared" si="4"/>
        <v>No</v>
      </c>
      <c r="K85" s="35"/>
      <c r="L85" s="35"/>
      <c r="M85" s="35"/>
      <c r="N85" s="4"/>
      <c r="O85" s="4"/>
      <c r="P85" s="50"/>
      <c r="Q85" s="50"/>
      <c r="R85" s="50"/>
      <c r="S85" s="51"/>
      <c r="T85" s="4"/>
      <c r="U85" s="4"/>
    </row>
    <row r="86" ht="18.0" customHeight="1">
      <c r="A86" s="35"/>
      <c r="B86" s="37" t="s">
        <v>158</v>
      </c>
      <c r="C86" s="38">
        <v>44841.0</v>
      </c>
      <c r="D86" s="37">
        <v>33.0</v>
      </c>
      <c r="E86" s="37">
        <v>718.0</v>
      </c>
      <c r="F86" s="37">
        <v>75.41</v>
      </c>
      <c r="G86" s="39">
        <v>4971.11</v>
      </c>
      <c r="H86" s="37" t="s">
        <v>159</v>
      </c>
      <c r="I86" s="37" t="s">
        <v>38</v>
      </c>
      <c r="J86" s="37" t="str">
        <f t="shared" si="4"/>
        <v>No</v>
      </c>
      <c r="K86" s="35"/>
      <c r="L86" s="35"/>
      <c r="M86" s="35"/>
      <c r="N86" s="4"/>
      <c r="O86" s="4"/>
      <c r="P86" s="50"/>
      <c r="Q86" s="50"/>
      <c r="R86" s="50"/>
      <c r="S86" s="51"/>
      <c r="T86" s="4"/>
      <c r="U86" s="4"/>
    </row>
    <row r="87" ht="18.0" customHeight="1">
      <c r="A87" s="35"/>
      <c r="B87" s="37" t="s">
        <v>160</v>
      </c>
      <c r="C87" s="38">
        <v>44570.0</v>
      </c>
      <c r="D87" s="37">
        <v>67.0</v>
      </c>
      <c r="E87" s="37">
        <v>751.0</v>
      </c>
      <c r="F87" s="37">
        <v>242.03</v>
      </c>
      <c r="G87" s="39">
        <v>7613.24</v>
      </c>
      <c r="H87" s="37" t="s">
        <v>161</v>
      </c>
      <c r="I87" s="37" t="s">
        <v>50</v>
      </c>
      <c r="J87" s="37" t="str">
        <f t="shared" si="4"/>
        <v>No</v>
      </c>
      <c r="K87" s="35"/>
      <c r="L87" s="35"/>
      <c r="M87" s="35"/>
      <c r="N87" s="4"/>
      <c r="O87" s="4"/>
      <c r="P87" s="50"/>
      <c r="Q87" s="50"/>
      <c r="R87" s="50"/>
      <c r="S87" s="51"/>
      <c r="T87" s="4"/>
      <c r="U87" s="4"/>
    </row>
    <row r="88" ht="18.0" customHeight="1">
      <c r="A88" s="35"/>
      <c r="B88" s="37" t="s">
        <v>162</v>
      </c>
      <c r="C88" s="38">
        <v>44614.0</v>
      </c>
      <c r="D88" s="37">
        <v>94.0</v>
      </c>
      <c r="E88" s="37">
        <v>703.0</v>
      </c>
      <c r="F88" s="37">
        <v>209.41</v>
      </c>
      <c r="G88" s="39">
        <v>7977.29</v>
      </c>
      <c r="H88" s="37" t="s">
        <v>163</v>
      </c>
      <c r="I88" s="37" t="s">
        <v>38</v>
      </c>
      <c r="J88" s="37" t="str">
        <f t="shared" si="4"/>
        <v>No</v>
      </c>
      <c r="K88" s="35"/>
      <c r="L88" s="35"/>
      <c r="M88" s="35"/>
      <c r="N88" s="4"/>
      <c r="O88" s="4"/>
      <c r="P88" s="50"/>
      <c r="Q88" s="50"/>
      <c r="R88" s="50"/>
      <c r="S88" s="51"/>
      <c r="T88" s="4"/>
      <c r="U88" s="4"/>
    </row>
    <row r="89" ht="18.0" customHeight="1">
      <c r="A89" s="35"/>
      <c r="B89" s="37" t="s">
        <v>164</v>
      </c>
      <c r="C89" s="38">
        <v>44843.0</v>
      </c>
      <c r="D89" s="37">
        <v>21.0</v>
      </c>
      <c r="E89" s="37">
        <v>67.0</v>
      </c>
      <c r="F89" s="37">
        <v>183.58</v>
      </c>
      <c r="G89" s="39">
        <v>1972.28</v>
      </c>
      <c r="H89" s="37" t="s">
        <v>165</v>
      </c>
      <c r="I89" s="37" t="s">
        <v>50</v>
      </c>
      <c r="J89" s="37" t="str">
        <f t="shared" si="4"/>
        <v>No</v>
      </c>
      <c r="K89" s="35"/>
      <c r="L89" s="35"/>
      <c r="M89" s="35"/>
      <c r="N89" s="4"/>
      <c r="O89" s="4"/>
      <c r="P89" s="50"/>
      <c r="Q89" s="50"/>
      <c r="R89" s="50"/>
      <c r="S89" s="51"/>
      <c r="T89" s="4"/>
      <c r="U89" s="4"/>
    </row>
    <row r="90" ht="18.0" customHeight="1">
      <c r="A90" s="35"/>
      <c r="B90" s="37" t="s">
        <v>10</v>
      </c>
      <c r="C90" s="38">
        <v>44580.0</v>
      </c>
      <c r="D90" s="37">
        <v>78.0</v>
      </c>
      <c r="E90" s="37">
        <v>484.0</v>
      </c>
      <c r="F90" s="37">
        <v>74.85</v>
      </c>
      <c r="G90" s="39">
        <v>8253.62</v>
      </c>
      <c r="H90" s="37" t="s">
        <v>166</v>
      </c>
      <c r="I90" s="37" t="s">
        <v>38</v>
      </c>
      <c r="J90" s="37" t="str">
        <f t="shared" si="4"/>
        <v>Yes</v>
      </c>
      <c r="K90" s="35"/>
      <c r="L90" s="35"/>
      <c r="M90" s="35"/>
      <c r="N90" s="4"/>
      <c r="O90" s="4"/>
      <c r="P90" s="50"/>
      <c r="Q90" s="50"/>
      <c r="R90" s="50"/>
      <c r="S90" s="51"/>
      <c r="T90" s="4"/>
      <c r="U90" s="4"/>
    </row>
    <row r="91" ht="18.0" customHeight="1">
      <c r="A91" s="35"/>
      <c r="B91" s="37" t="s">
        <v>167</v>
      </c>
      <c r="C91" s="38">
        <v>44636.0</v>
      </c>
      <c r="D91" s="37">
        <v>20.0</v>
      </c>
      <c r="E91" s="37">
        <v>591.0</v>
      </c>
      <c r="F91" s="37">
        <v>4.63</v>
      </c>
      <c r="G91" s="39">
        <v>3406.02</v>
      </c>
      <c r="H91" s="37" t="s">
        <v>168</v>
      </c>
      <c r="I91" s="37" t="s">
        <v>38</v>
      </c>
      <c r="J91" s="37" t="str">
        <f t="shared" si="4"/>
        <v>No</v>
      </c>
      <c r="K91" s="35"/>
      <c r="L91" s="35"/>
      <c r="M91" s="35"/>
      <c r="N91" s="4"/>
      <c r="O91" s="4"/>
      <c r="P91" s="50"/>
      <c r="Q91" s="50"/>
      <c r="R91" s="50"/>
      <c r="S91" s="51"/>
      <c r="T91" s="4"/>
      <c r="U91" s="4"/>
    </row>
    <row r="92" ht="18.0" customHeight="1">
      <c r="A92" s="35"/>
      <c r="B92" s="37" t="s">
        <v>169</v>
      </c>
      <c r="C92" s="38">
        <v>44638.0</v>
      </c>
      <c r="D92" s="37">
        <v>4.0</v>
      </c>
      <c r="E92" s="37">
        <v>175.0</v>
      </c>
      <c r="F92" s="37">
        <v>187.38</v>
      </c>
      <c r="G92" s="39">
        <v>7610.1</v>
      </c>
      <c r="H92" s="37" t="s">
        <v>170</v>
      </c>
      <c r="I92" s="37" t="s">
        <v>50</v>
      </c>
      <c r="J92" s="37" t="str">
        <f t="shared" si="4"/>
        <v>No</v>
      </c>
      <c r="K92" s="35"/>
      <c r="L92" s="35"/>
      <c r="M92" s="35"/>
      <c r="N92" s="4"/>
      <c r="O92" s="4"/>
      <c r="P92" s="50"/>
      <c r="Q92" s="50"/>
      <c r="R92" s="50"/>
      <c r="S92" s="51"/>
      <c r="T92" s="4"/>
      <c r="U92" s="4"/>
    </row>
    <row r="93" ht="18.0" customHeight="1">
      <c r="A93" s="35"/>
      <c r="B93" s="37" t="s">
        <v>171</v>
      </c>
      <c r="C93" s="38">
        <v>44803.0</v>
      </c>
      <c r="D93" s="37">
        <v>79.0</v>
      </c>
      <c r="E93" s="37">
        <v>740.0</v>
      </c>
      <c r="F93" s="37">
        <v>140.38</v>
      </c>
      <c r="G93" s="39">
        <v>29.51</v>
      </c>
      <c r="H93" s="37" t="s">
        <v>172</v>
      </c>
      <c r="I93" s="37" t="s">
        <v>50</v>
      </c>
      <c r="J93" s="37" t="str">
        <f t="shared" si="4"/>
        <v>No</v>
      </c>
      <c r="K93" s="35"/>
      <c r="L93" s="35"/>
      <c r="M93" s="35"/>
      <c r="N93" s="4"/>
      <c r="O93" s="4"/>
      <c r="P93" s="50"/>
      <c r="Q93" s="50"/>
      <c r="R93" s="50"/>
      <c r="S93" s="51"/>
      <c r="T93" s="4"/>
      <c r="U93" s="4"/>
    </row>
    <row r="94" ht="18.0" customHeight="1">
      <c r="A94" s="35"/>
      <c r="B94" s="37" t="s">
        <v>173</v>
      </c>
      <c r="C94" s="38">
        <v>44797.0</v>
      </c>
      <c r="D94" s="37">
        <v>88.0</v>
      </c>
      <c r="E94" s="37">
        <v>187.0</v>
      </c>
      <c r="F94" s="37">
        <v>154.65</v>
      </c>
      <c r="G94" s="39">
        <v>901.7</v>
      </c>
      <c r="H94" s="37" t="s">
        <v>174</v>
      </c>
      <c r="I94" s="37" t="s">
        <v>50</v>
      </c>
      <c r="J94" s="37" t="str">
        <f t="shared" si="4"/>
        <v>No</v>
      </c>
      <c r="K94" s="35"/>
      <c r="L94" s="35"/>
      <c r="M94" s="35"/>
      <c r="N94" s="4"/>
      <c r="O94" s="4"/>
      <c r="P94" s="50"/>
      <c r="Q94" s="50"/>
      <c r="R94" s="50"/>
      <c r="S94" s="51"/>
      <c r="T94" s="4"/>
      <c r="U94" s="4"/>
    </row>
    <row r="95" ht="18.0" customHeight="1">
      <c r="A95" s="35"/>
      <c r="B95" s="37" t="s">
        <v>175</v>
      </c>
      <c r="C95" s="38">
        <v>44776.0</v>
      </c>
      <c r="D95" s="37">
        <v>99.0</v>
      </c>
      <c r="E95" s="37">
        <v>505.0</v>
      </c>
      <c r="F95" s="37">
        <v>1.03</v>
      </c>
      <c r="G95" s="39">
        <v>8615.79</v>
      </c>
      <c r="H95" s="37" t="s">
        <v>176</v>
      </c>
      <c r="I95" s="37" t="s">
        <v>50</v>
      </c>
      <c r="J95" s="37" t="str">
        <f t="shared" si="4"/>
        <v>No</v>
      </c>
      <c r="K95" s="35"/>
      <c r="L95" s="35"/>
      <c r="M95" s="35"/>
      <c r="N95" s="4"/>
      <c r="O95" s="4"/>
      <c r="P95" s="50"/>
      <c r="Q95" s="50"/>
      <c r="R95" s="50"/>
      <c r="S95" s="51"/>
      <c r="T95" s="4"/>
      <c r="U95" s="4"/>
    </row>
    <row r="96" ht="18.0" customHeight="1">
      <c r="A96" s="35"/>
      <c r="B96" s="37" t="s">
        <v>177</v>
      </c>
      <c r="C96" s="38">
        <v>44726.0</v>
      </c>
      <c r="D96" s="37">
        <v>27.0</v>
      </c>
      <c r="E96" s="37">
        <v>119.0</v>
      </c>
      <c r="F96" s="37">
        <v>106.1</v>
      </c>
      <c r="G96" s="39">
        <v>1127.8</v>
      </c>
      <c r="H96" s="37" t="s">
        <v>178</v>
      </c>
      <c r="I96" s="37" t="s">
        <v>42</v>
      </c>
      <c r="J96" s="37" t="str">
        <f t="shared" si="4"/>
        <v>No</v>
      </c>
      <c r="K96" s="35"/>
      <c r="L96" s="35"/>
      <c r="M96" s="35"/>
      <c r="N96" s="4"/>
      <c r="O96" s="4"/>
      <c r="P96" s="50"/>
      <c r="Q96" s="50"/>
      <c r="R96" s="50"/>
      <c r="S96" s="51"/>
      <c r="T96" s="4"/>
      <c r="U96" s="4"/>
    </row>
    <row r="97" ht="18.0" customHeight="1">
      <c r="A97" s="35"/>
      <c r="B97" s="37" t="s">
        <v>179</v>
      </c>
      <c r="C97" s="38">
        <v>44717.0</v>
      </c>
      <c r="D97" s="37">
        <v>90.0</v>
      </c>
      <c r="E97" s="37">
        <v>850.0</v>
      </c>
      <c r="F97" s="37">
        <v>162.36</v>
      </c>
      <c r="G97" s="39">
        <v>130.06</v>
      </c>
      <c r="H97" s="37" t="s">
        <v>180</v>
      </c>
      <c r="I97" s="37" t="s">
        <v>42</v>
      </c>
      <c r="J97" s="37" t="str">
        <f t="shared" si="4"/>
        <v>No</v>
      </c>
      <c r="K97" s="35"/>
      <c r="L97" s="35"/>
      <c r="M97" s="35"/>
      <c r="N97" s="4"/>
      <c r="O97" s="4"/>
      <c r="P97" s="50"/>
      <c r="Q97" s="50"/>
      <c r="R97" s="50"/>
      <c r="S97" s="51"/>
      <c r="T97" s="4"/>
      <c r="U97" s="4"/>
    </row>
    <row r="98" ht="18.0" customHeight="1">
      <c r="A98" s="35"/>
      <c r="B98" s="37" t="s">
        <v>181</v>
      </c>
      <c r="C98" s="38">
        <v>44760.0</v>
      </c>
      <c r="D98" s="37">
        <v>20.0</v>
      </c>
      <c r="E98" s="37">
        <v>922.0</v>
      </c>
      <c r="F98" s="37">
        <v>164.6</v>
      </c>
      <c r="G98" s="39">
        <v>9667.56</v>
      </c>
      <c r="H98" s="37" t="s">
        <v>182</v>
      </c>
      <c r="I98" s="37" t="s">
        <v>50</v>
      </c>
      <c r="J98" s="37" t="str">
        <f t="shared" si="4"/>
        <v>No</v>
      </c>
      <c r="K98" s="35"/>
      <c r="L98" s="35"/>
      <c r="M98" s="35"/>
      <c r="N98" s="4"/>
      <c r="O98" s="4"/>
      <c r="P98" s="50"/>
      <c r="Q98" s="50"/>
      <c r="R98" s="50"/>
      <c r="S98" s="51"/>
      <c r="T98" s="4"/>
      <c r="U98" s="4"/>
    </row>
    <row r="99" ht="18.0" customHeight="1">
      <c r="A99" s="35"/>
      <c r="B99" s="37" t="s">
        <v>183</v>
      </c>
      <c r="C99" s="38">
        <v>44788.0</v>
      </c>
      <c r="D99" s="37">
        <v>59.0</v>
      </c>
      <c r="E99" s="37">
        <v>110.0</v>
      </c>
      <c r="F99" s="37">
        <v>150.51</v>
      </c>
      <c r="G99" s="39">
        <v>2155.36</v>
      </c>
      <c r="H99" s="37" t="s">
        <v>184</v>
      </c>
      <c r="I99" s="37" t="s">
        <v>42</v>
      </c>
      <c r="J99" s="37" t="str">
        <f t="shared" si="4"/>
        <v>No</v>
      </c>
      <c r="K99" s="35"/>
      <c r="L99" s="35"/>
      <c r="M99" s="35"/>
      <c r="N99" s="4"/>
      <c r="O99" s="4"/>
      <c r="P99" s="50"/>
      <c r="Q99" s="50"/>
      <c r="R99" s="50"/>
      <c r="S99" s="51"/>
      <c r="T99" s="4"/>
      <c r="U99" s="4"/>
    </row>
    <row r="100" ht="18.0" customHeight="1">
      <c r="A100" s="35"/>
      <c r="B100" s="37" t="s">
        <v>185</v>
      </c>
      <c r="C100" s="38">
        <v>44588.0</v>
      </c>
      <c r="D100" s="37">
        <v>96.0</v>
      </c>
      <c r="E100" s="37">
        <v>128.0</v>
      </c>
      <c r="F100" s="37">
        <v>190.56</v>
      </c>
      <c r="G100" s="39">
        <v>8970.03</v>
      </c>
      <c r="H100" s="37" t="s">
        <v>186</v>
      </c>
      <c r="I100" s="37" t="s">
        <v>38</v>
      </c>
      <c r="J100" s="37" t="str">
        <f t="shared" si="4"/>
        <v>No</v>
      </c>
      <c r="K100" s="35"/>
      <c r="L100" s="35"/>
      <c r="M100" s="35"/>
      <c r="N100" s="4"/>
      <c r="O100" s="4"/>
      <c r="P100" s="50"/>
      <c r="Q100" s="50"/>
      <c r="R100" s="50"/>
      <c r="S100" s="51"/>
      <c r="T100" s="4"/>
      <c r="U100" s="4"/>
    </row>
    <row r="101" ht="18.0" customHeight="1">
      <c r="A101" s="35"/>
      <c r="B101" s="37" t="s">
        <v>187</v>
      </c>
      <c r="C101" s="38">
        <v>44852.0</v>
      </c>
      <c r="D101" s="37">
        <v>28.0</v>
      </c>
      <c r="E101" s="37">
        <v>421.0</v>
      </c>
      <c r="F101" s="37">
        <v>162.77</v>
      </c>
      <c r="G101" s="39">
        <v>3550.12</v>
      </c>
      <c r="H101" s="37" t="s">
        <v>188</v>
      </c>
      <c r="I101" s="37" t="s">
        <v>42</v>
      </c>
      <c r="J101" s="37" t="str">
        <f t="shared" si="4"/>
        <v>No</v>
      </c>
      <c r="K101" s="35"/>
      <c r="L101" s="35"/>
      <c r="M101" s="35"/>
      <c r="N101" s="4"/>
      <c r="O101" s="4"/>
      <c r="P101" s="50"/>
      <c r="Q101" s="50"/>
      <c r="R101" s="50"/>
      <c r="S101" s="51"/>
      <c r="T101" s="4"/>
      <c r="U101" s="4"/>
    </row>
    <row r="102" ht="18.0" customHeight="1">
      <c r="A102" s="35"/>
      <c r="B102" s="37" t="s">
        <v>189</v>
      </c>
      <c r="C102" s="38">
        <v>44716.0</v>
      </c>
      <c r="D102" s="37">
        <v>77.0</v>
      </c>
      <c r="E102" s="37">
        <v>473.0</v>
      </c>
      <c r="F102" s="37">
        <v>152.94</v>
      </c>
      <c r="G102" s="39">
        <v>7539.35</v>
      </c>
      <c r="H102" s="37" t="s">
        <v>190</v>
      </c>
      <c r="I102" s="37" t="s">
        <v>38</v>
      </c>
      <c r="J102" s="37" t="str">
        <f t="shared" si="4"/>
        <v>No</v>
      </c>
      <c r="K102" s="35"/>
      <c r="L102" s="35"/>
      <c r="M102" s="35"/>
      <c r="N102" s="4"/>
      <c r="O102" s="4"/>
      <c r="P102" s="50"/>
      <c r="Q102" s="50"/>
      <c r="R102" s="50"/>
      <c r="S102" s="51"/>
      <c r="T102" s="4"/>
      <c r="U102" s="4"/>
    </row>
    <row r="103" ht="18.0" customHeight="1">
      <c r="A103" s="35"/>
      <c r="B103" s="37" t="s">
        <v>191</v>
      </c>
      <c r="C103" s="38">
        <v>44660.0</v>
      </c>
      <c r="D103" s="37">
        <v>19.0</v>
      </c>
      <c r="E103" s="37">
        <v>674.0</v>
      </c>
      <c r="F103" s="37">
        <v>148.91</v>
      </c>
      <c r="G103" s="39">
        <v>5375.69</v>
      </c>
      <c r="H103" s="37" t="s">
        <v>192</v>
      </c>
      <c r="I103" s="37" t="s">
        <v>38</v>
      </c>
      <c r="J103" s="37" t="str">
        <f t="shared" si="4"/>
        <v>No</v>
      </c>
      <c r="K103" s="35"/>
      <c r="L103" s="35"/>
      <c r="M103" s="35"/>
      <c r="N103" s="4"/>
      <c r="O103" s="4"/>
      <c r="P103" s="50"/>
      <c r="Q103" s="50"/>
      <c r="R103" s="50"/>
      <c r="S103" s="51"/>
      <c r="T103" s="4"/>
      <c r="U103" s="4"/>
    </row>
    <row r="104" ht="18.0" customHeight="1">
      <c r="A104" s="35"/>
      <c r="B104" s="37" t="s">
        <v>193</v>
      </c>
      <c r="C104" s="38">
        <v>44620.0</v>
      </c>
      <c r="D104" s="37">
        <v>98.0</v>
      </c>
      <c r="E104" s="37">
        <v>118.0</v>
      </c>
      <c r="F104" s="37">
        <v>107.68</v>
      </c>
      <c r="G104" s="39">
        <v>2900.04</v>
      </c>
      <c r="H104" s="37" t="s">
        <v>194</v>
      </c>
      <c r="I104" s="37" t="s">
        <v>42</v>
      </c>
      <c r="J104" s="37" t="str">
        <f t="shared" si="4"/>
        <v>No</v>
      </c>
      <c r="K104" s="35"/>
      <c r="L104" s="35"/>
      <c r="M104" s="35"/>
      <c r="N104" s="4"/>
      <c r="O104" s="4"/>
      <c r="P104" s="50"/>
      <c r="Q104" s="50"/>
      <c r="R104" s="50"/>
      <c r="S104" s="51"/>
      <c r="T104" s="4"/>
      <c r="U104" s="4"/>
    </row>
    <row r="105" ht="18.0" customHeight="1">
      <c r="A105" s="35"/>
      <c r="B105" s="37" t="s">
        <v>195</v>
      </c>
      <c r="C105" s="38">
        <v>44808.0</v>
      </c>
      <c r="D105" s="37">
        <v>57.0</v>
      </c>
      <c r="E105" s="37">
        <v>887.0</v>
      </c>
      <c r="F105" s="37">
        <v>1.51</v>
      </c>
      <c r="G105" s="39">
        <v>600.32</v>
      </c>
      <c r="H105" s="37" t="s">
        <v>196</v>
      </c>
      <c r="I105" s="37" t="s">
        <v>50</v>
      </c>
      <c r="J105" s="37" t="str">
        <f t="shared" si="4"/>
        <v>No</v>
      </c>
      <c r="K105" s="35"/>
      <c r="L105" s="35"/>
      <c r="M105" s="35"/>
      <c r="N105" s="4"/>
      <c r="O105" s="4"/>
      <c r="P105" s="50"/>
      <c r="Q105" s="50"/>
      <c r="R105" s="50"/>
      <c r="S105" s="51"/>
      <c r="T105" s="4"/>
      <c r="U105" s="4"/>
    </row>
    <row r="106" ht="18.0" customHeight="1">
      <c r="A106" s="35"/>
      <c r="B106" s="37" t="s">
        <v>197</v>
      </c>
      <c r="C106" s="38">
        <v>44592.0</v>
      </c>
      <c r="D106" s="37">
        <v>3.0</v>
      </c>
      <c r="E106" s="37">
        <v>897.0</v>
      </c>
      <c r="F106" s="37">
        <v>224.08</v>
      </c>
      <c r="G106" s="39">
        <v>4086.05</v>
      </c>
      <c r="H106" s="37" t="s">
        <v>198</v>
      </c>
      <c r="I106" s="37" t="s">
        <v>50</v>
      </c>
      <c r="J106" s="37" t="str">
        <f t="shared" si="4"/>
        <v>No</v>
      </c>
      <c r="K106" s="35"/>
      <c r="L106" s="35"/>
      <c r="M106" s="35"/>
      <c r="N106" s="4"/>
      <c r="O106" s="4"/>
      <c r="P106" s="50"/>
      <c r="Q106" s="50"/>
      <c r="R106" s="50"/>
      <c r="S106" s="51"/>
      <c r="T106" s="4"/>
      <c r="U106" s="4"/>
    </row>
    <row r="107" ht="18.0" customHeight="1">
      <c r="A107" s="35"/>
      <c r="B107" s="37" t="s">
        <v>199</v>
      </c>
      <c r="C107" s="38">
        <v>44770.0</v>
      </c>
      <c r="D107" s="37">
        <v>89.0</v>
      </c>
      <c r="E107" s="37">
        <v>861.0</v>
      </c>
      <c r="F107" s="37">
        <v>109.18</v>
      </c>
      <c r="G107" s="39">
        <v>334.71</v>
      </c>
      <c r="H107" s="37" t="s">
        <v>200</v>
      </c>
      <c r="I107" s="37" t="s">
        <v>50</v>
      </c>
      <c r="J107" s="37" t="str">
        <f t="shared" si="4"/>
        <v>No</v>
      </c>
      <c r="K107" s="35"/>
      <c r="L107" s="35"/>
      <c r="M107" s="35"/>
      <c r="N107" s="4"/>
      <c r="O107" s="4"/>
      <c r="P107" s="50"/>
      <c r="Q107" s="50"/>
      <c r="R107" s="50"/>
      <c r="S107" s="51"/>
      <c r="T107" s="4"/>
      <c r="U107" s="4"/>
    </row>
    <row r="108" ht="18.0" customHeight="1">
      <c r="A108" s="35"/>
      <c r="B108" s="37" t="s">
        <v>201</v>
      </c>
      <c r="C108" s="38">
        <v>44644.0</v>
      </c>
      <c r="D108" s="37">
        <v>69.0</v>
      </c>
      <c r="E108" s="37">
        <v>869.0</v>
      </c>
      <c r="F108" s="37">
        <v>183.03</v>
      </c>
      <c r="G108" s="39">
        <v>3600.04</v>
      </c>
      <c r="H108" s="37" t="s">
        <v>202</v>
      </c>
      <c r="I108" s="37" t="s">
        <v>50</v>
      </c>
      <c r="J108" s="37" t="str">
        <f t="shared" si="4"/>
        <v>No</v>
      </c>
      <c r="K108" s="35"/>
      <c r="L108" s="35"/>
      <c r="M108" s="35"/>
      <c r="N108" s="4"/>
      <c r="O108" s="4"/>
      <c r="P108" s="50"/>
      <c r="Q108" s="50"/>
      <c r="R108" s="50"/>
      <c r="S108" s="51"/>
      <c r="T108" s="4"/>
      <c r="U108" s="4"/>
    </row>
    <row r="109" ht="18.0" customHeight="1">
      <c r="A109" s="35"/>
      <c r="B109" s="37" t="s">
        <v>203</v>
      </c>
      <c r="C109" s="38">
        <v>44761.0</v>
      </c>
      <c r="D109" s="37">
        <v>46.0</v>
      </c>
      <c r="E109" s="37">
        <v>583.0</v>
      </c>
      <c r="F109" s="37">
        <v>211.27</v>
      </c>
      <c r="G109" s="39">
        <v>2502.18</v>
      </c>
      <c r="H109" s="37" t="s">
        <v>204</v>
      </c>
      <c r="I109" s="37" t="s">
        <v>42</v>
      </c>
      <c r="J109" s="37" t="str">
        <f t="shared" si="4"/>
        <v>No</v>
      </c>
      <c r="K109" s="35"/>
      <c r="L109" s="35"/>
      <c r="M109" s="35"/>
      <c r="N109" s="4"/>
      <c r="O109" s="4"/>
      <c r="P109" s="50"/>
      <c r="Q109" s="50"/>
      <c r="R109" s="50"/>
      <c r="S109" s="51"/>
      <c r="T109" s="4"/>
      <c r="U109" s="4"/>
    </row>
    <row r="110" ht="18.0" customHeight="1">
      <c r="A110" s="35"/>
      <c r="B110" s="37" t="s">
        <v>205</v>
      </c>
      <c r="C110" s="38">
        <v>44673.0</v>
      </c>
      <c r="D110" s="37">
        <v>12.0</v>
      </c>
      <c r="E110" s="37">
        <v>847.0</v>
      </c>
      <c r="F110" s="37">
        <v>60.18</v>
      </c>
      <c r="G110" s="39">
        <v>4937.79</v>
      </c>
      <c r="H110" s="37" t="s">
        <v>206</v>
      </c>
      <c r="I110" s="37" t="s">
        <v>50</v>
      </c>
      <c r="J110" s="37" t="str">
        <f t="shared" si="4"/>
        <v>No</v>
      </c>
      <c r="K110" s="35"/>
      <c r="L110" s="35"/>
      <c r="M110" s="35"/>
      <c r="N110" s="4"/>
      <c r="O110" s="4"/>
      <c r="P110" s="50"/>
      <c r="Q110" s="50"/>
      <c r="R110" s="50"/>
      <c r="S110" s="51"/>
      <c r="T110" s="4"/>
      <c r="U110" s="4"/>
    </row>
    <row r="111" ht="18.0" customHeight="1">
      <c r="A111" s="35"/>
      <c r="B111" s="37" t="s">
        <v>207</v>
      </c>
      <c r="C111" s="38">
        <v>44726.0</v>
      </c>
      <c r="D111" s="37">
        <v>78.0</v>
      </c>
      <c r="E111" s="37">
        <v>240.0</v>
      </c>
      <c r="F111" s="37">
        <v>16.41</v>
      </c>
      <c r="G111" s="39">
        <v>6768.79</v>
      </c>
      <c r="H111" s="37" t="s">
        <v>208</v>
      </c>
      <c r="I111" s="37" t="s">
        <v>50</v>
      </c>
      <c r="J111" s="37" t="str">
        <f t="shared" si="4"/>
        <v>No</v>
      </c>
      <c r="K111" s="35"/>
      <c r="L111" s="35"/>
      <c r="M111" s="35"/>
      <c r="N111" s="4"/>
      <c r="O111" s="4"/>
      <c r="P111" s="50"/>
      <c r="Q111" s="50"/>
      <c r="R111" s="50"/>
      <c r="S111" s="51"/>
      <c r="T111" s="4"/>
      <c r="U111" s="4"/>
    </row>
    <row r="112" ht="18.0" customHeight="1">
      <c r="A112" s="35"/>
      <c r="B112" s="37" t="s">
        <v>209</v>
      </c>
      <c r="C112" s="38">
        <v>44724.0</v>
      </c>
      <c r="D112" s="37">
        <v>96.0</v>
      </c>
      <c r="E112" s="37">
        <v>21.0</v>
      </c>
      <c r="F112" s="37">
        <v>46.61</v>
      </c>
      <c r="G112" s="39">
        <v>8154.93</v>
      </c>
      <c r="H112" s="37" t="s">
        <v>210</v>
      </c>
      <c r="I112" s="37" t="s">
        <v>42</v>
      </c>
      <c r="J112" s="37" t="str">
        <f t="shared" si="4"/>
        <v>No</v>
      </c>
      <c r="K112" s="35"/>
      <c r="L112" s="35"/>
      <c r="M112" s="35"/>
      <c r="N112" s="4"/>
      <c r="O112" s="4"/>
      <c r="P112" s="50"/>
      <c r="Q112" s="50"/>
      <c r="R112" s="50"/>
      <c r="S112" s="51"/>
      <c r="T112" s="4"/>
      <c r="U112" s="4"/>
    </row>
    <row r="113" ht="18.0" customHeight="1">
      <c r="A113" s="35"/>
      <c r="B113" s="37" t="s">
        <v>211</v>
      </c>
      <c r="C113" s="38">
        <v>44855.0</v>
      </c>
      <c r="D113" s="37">
        <v>52.0</v>
      </c>
      <c r="E113" s="37">
        <v>95.0</v>
      </c>
      <c r="F113" s="37">
        <v>70.21</v>
      </c>
      <c r="G113" s="39">
        <v>9415.1</v>
      </c>
      <c r="H113" s="37" t="s">
        <v>212</v>
      </c>
      <c r="I113" s="37" t="s">
        <v>38</v>
      </c>
      <c r="J113" s="37" t="str">
        <f t="shared" si="4"/>
        <v>No</v>
      </c>
      <c r="K113" s="35"/>
      <c r="L113" s="35"/>
      <c r="M113" s="35"/>
      <c r="N113" s="4"/>
      <c r="O113" s="4"/>
      <c r="P113" s="50"/>
      <c r="Q113" s="50"/>
      <c r="R113" s="50"/>
      <c r="S113" s="51"/>
      <c r="T113" s="4"/>
      <c r="U113" s="4"/>
    </row>
    <row r="114" ht="18.0" customHeight="1">
      <c r="A114" s="35"/>
      <c r="B114" s="37" t="s">
        <v>213</v>
      </c>
      <c r="C114" s="38">
        <v>44585.0</v>
      </c>
      <c r="D114" s="37">
        <v>21.0</v>
      </c>
      <c r="E114" s="37">
        <v>705.0</v>
      </c>
      <c r="F114" s="37">
        <v>143.91</v>
      </c>
      <c r="G114" s="39">
        <v>5610.52</v>
      </c>
      <c r="H114" s="37" t="s">
        <v>214</v>
      </c>
      <c r="I114" s="37" t="s">
        <v>38</v>
      </c>
      <c r="J114" s="37" t="str">
        <f t="shared" si="4"/>
        <v>No</v>
      </c>
      <c r="K114" s="35"/>
      <c r="L114" s="35"/>
      <c r="M114" s="35"/>
      <c r="N114" s="4"/>
      <c r="O114" s="4"/>
      <c r="P114" s="50"/>
      <c r="Q114" s="50"/>
      <c r="R114" s="50"/>
      <c r="S114" s="51"/>
      <c r="T114" s="4"/>
      <c r="U114" s="4"/>
    </row>
    <row r="115" ht="18.0" customHeight="1">
      <c r="A115" s="35"/>
      <c r="B115" s="37" t="s">
        <v>215</v>
      </c>
      <c r="C115" s="38">
        <v>44705.0</v>
      </c>
      <c r="D115" s="37">
        <v>99.0</v>
      </c>
      <c r="E115" s="37">
        <v>548.0</v>
      </c>
      <c r="F115" s="37">
        <v>74.37</v>
      </c>
      <c r="G115" s="39">
        <v>5210.75</v>
      </c>
      <c r="H115" s="37" t="s">
        <v>216</v>
      </c>
      <c r="I115" s="37" t="s">
        <v>42</v>
      </c>
      <c r="J115" s="37" t="str">
        <f t="shared" si="4"/>
        <v>No</v>
      </c>
      <c r="K115" s="35"/>
      <c r="L115" s="35"/>
      <c r="M115" s="35"/>
      <c r="N115" s="4"/>
      <c r="O115" s="4"/>
      <c r="P115" s="50"/>
      <c r="Q115" s="50"/>
      <c r="R115" s="50"/>
      <c r="S115" s="51"/>
      <c r="T115" s="4"/>
      <c r="U115" s="4"/>
    </row>
    <row r="116" ht="18.0" customHeight="1">
      <c r="A116" s="35"/>
      <c r="B116" s="37" t="s">
        <v>217</v>
      </c>
      <c r="C116" s="38">
        <v>44627.0</v>
      </c>
      <c r="D116" s="37">
        <v>87.0</v>
      </c>
      <c r="E116" s="37">
        <v>892.0</v>
      </c>
      <c r="F116" s="37">
        <v>3.53</v>
      </c>
      <c r="G116" s="39">
        <v>2988.3</v>
      </c>
      <c r="H116" s="37" t="s">
        <v>218</v>
      </c>
      <c r="I116" s="37" t="s">
        <v>50</v>
      </c>
      <c r="J116" s="37" t="str">
        <f t="shared" si="4"/>
        <v>No</v>
      </c>
      <c r="K116" s="35"/>
      <c r="L116" s="35"/>
      <c r="M116" s="35"/>
      <c r="N116" s="4"/>
      <c r="O116" s="4"/>
      <c r="P116" s="50"/>
      <c r="Q116" s="50"/>
      <c r="R116" s="50"/>
      <c r="S116" s="51"/>
      <c r="T116" s="4"/>
      <c r="U116" s="4"/>
    </row>
    <row r="117" ht="18.0" customHeight="1">
      <c r="A117" s="35"/>
      <c r="B117" s="37" t="s">
        <v>219</v>
      </c>
      <c r="C117" s="38">
        <v>44724.0</v>
      </c>
      <c r="D117" s="37">
        <v>30.0</v>
      </c>
      <c r="E117" s="37">
        <v>20.0</v>
      </c>
      <c r="F117" s="37">
        <v>238.62</v>
      </c>
      <c r="G117" s="39">
        <v>6152.76</v>
      </c>
      <c r="H117" s="37" t="s">
        <v>220</v>
      </c>
      <c r="I117" s="37" t="s">
        <v>38</v>
      </c>
      <c r="J117" s="37" t="str">
        <f t="shared" si="4"/>
        <v>No</v>
      </c>
      <c r="K117" s="35"/>
      <c r="L117" s="35"/>
      <c r="M117" s="35"/>
      <c r="N117" s="4"/>
      <c r="O117" s="4"/>
      <c r="P117" s="50"/>
      <c r="Q117" s="50"/>
      <c r="R117" s="50"/>
      <c r="S117" s="51"/>
      <c r="T117" s="4"/>
      <c r="U117" s="4"/>
    </row>
    <row r="118" ht="18.0" customHeight="1">
      <c r="A118" s="35"/>
      <c r="B118" s="37" t="s">
        <v>221</v>
      </c>
      <c r="C118" s="38">
        <v>44855.0</v>
      </c>
      <c r="D118" s="37">
        <v>40.0</v>
      </c>
      <c r="E118" s="37">
        <v>959.0</v>
      </c>
      <c r="F118" s="37">
        <v>189.55</v>
      </c>
      <c r="G118" s="39">
        <v>8610.06</v>
      </c>
      <c r="H118" s="37" t="s">
        <v>87</v>
      </c>
      <c r="I118" s="37" t="s">
        <v>42</v>
      </c>
      <c r="J118" s="37" t="str">
        <f t="shared" si="4"/>
        <v>No</v>
      </c>
      <c r="K118" s="35"/>
      <c r="L118" s="35"/>
      <c r="M118" s="35"/>
      <c r="N118" s="4"/>
      <c r="O118" s="4"/>
      <c r="P118" s="50"/>
      <c r="Q118" s="50"/>
      <c r="R118" s="50"/>
      <c r="S118" s="51"/>
      <c r="T118" s="4"/>
      <c r="U118" s="4"/>
    </row>
    <row r="119" ht="18.0" customHeight="1">
      <c r="A119" s="35"/>
      <c r="B119" s="37" t="s">
        <v>222</v>
      </c>
      <c r="C119" s="38">
        <v>44917.0</v>
      </c>
      <c r="D119" s="37">
        <v>68.0</v>
      </c>
      <c r="E119" s="37">
        <v>144.0</v>
      </c>
      <c r="F119" s="37">
        <v>133.25</v>
      </c>
      <c r="G119" s="39">
        <v>769.78</v>
      </c>
      <c r="H119" s="37" t="s">
        <v>37</v>
      </c>
      <c r="I119" s="37" t="s">
        <v>38</v>
      </c>
      <c r="J119" s="37" t="str">
        <f t="shared" si="4"/>
        <v>No</v>
      </c>
      <c r="K119" s="35"/>
      <c r="L119" s="35"/>
      <c r="M119" s="35"/>
      <c r="N119" s="4"/>
      <c r="O119" s="4"/>
      <c r="P119" s="50"/>
      <c r="Q119" s="50"/>
      <c r="R119" s="50"/>
      <c r="S119" s="51"/>
      <c r="T119" s="4"/>
      <c r="U119" s="4"/>
    </row>
    <row r="120" ht="18.0" customHeight="1">
      <c r="A120" s="35"/>
      <c r="B120" s="37" t="s">
        <v>223</v>
      </c>
      <c r="C120" s="38">
        <v>44902.0</v>
      </c>
      <c r="D120" s="37">
        <v>4.0</v>
      </c>
      <c r="E120" s="37">
        <v>153.0</v>
      </c>
      <c r="F120" s="37">
        <v>95.76</v>
      </c>
      <c r="G120" s="39">
        <v>2895.28</v>
      </c>
      <c r="H120" s="37" t="s">
        <v>41</v>
      </c>
      <c r="I120" s="37" t="s">
        <v>38</v>
      </c>
      <c r="J120" s="37" t="str">
        <f t="shared" si="4"/>
        <v>No</v>
      </c>
      <c r="K120" s="35"/>
      <c r="L120" s="35"/>
      <c r="M120" s="35"/>
      <c r="N120" s="4"/>
      <c r="O120" s="4"/>
      <c r="P120" s="50"/>
      <c r="Q120" s="50"/>
      <c r="R120" s="50"/>
      <c r="S120" s="51"/>
      <c r="T120" s="4"/>
      <c r="U120" s="4"/>
    </row>
    <row r="121" ht="18.0" customHeight="1">
      <c r="A121" s="35"/>
      <c r="B121" s="37" t="s">
        <v>224</v>
      </c>
      <c r="C121" s="38">
        <v>44721.0</v>
      </c>
      <c r="D121" s="37">
        <v>80.0</v>
      </c>
      <c r="E121" s="37">
        <v>812.0</v>
      </c>
      <c r="F121" s="37">
        <v>93.94</v>
      </c>
      <c r="G121" s="39">
        <v>9357.59</v>
      </c>
      <c r="H121" s="37" t="s">
        <v>45</v>
      </c>
      <c r="I121" s="37" t="s">
        <v>50</v>
      </c>
      <c r="J121" s="37" t="str">
        <f t="shared" si="4"/>
        <v>No</v>
      </c>
      <c r="K121" s="35"/>
      <c r="L121" s="35"/>
      <c r="M121" s="35"/>
      <c r="N121" s="4"/>
      <c r="O121" s="4"/>
      <c r="P121" s="50"/>
      <c r="Q121" s="50"/>
      <c r="R121" s="50"/>
      <c r="S121" s="51"/>
      <c r="T121" s="4"/>
      <c r="U121" s="4"/>
    </row>
    <row r="122" ht="18.0" customHeight="1">
      <c r="A122" s="35"/>
      <c r="B122" s="37" t="s">
        <v>225</v>
      </c>
      <c r="C122" s="38">
        <v>44768.0</v>
      </c>
      <c r="D122" s="37">
        <v>55.0</v>
      </c>
      <c r="E122" s="37">
        <v>189.0</v>
      </c>
      <c r="F122" s="37">
        <v>248.71</v>
      </c>
      <c r="G122" s="39">
        <v>906.97</v>
      </c>
      <c r="H122" s="37" t="s">
        <v>49</v>
      </c>
      <c r="I122" s="37" t="s">
        <v>38</v>
      </c>
      <c r="J122" s="37" t="str">
        <f t="shared" si="4"/>
        <v>No</v>
      </c>
      <c r="K122" s="35"/>
      <c r="L122" s="35"/>
      <c r="M122" s="35"/>
      <c r="N122" s="4"/>
      <c r="O122" s="4"/>
      <c r="P122" s="50"/>
      <c r="Q122" s="50"/>
      <c r="R122" s="50"/>
      <c r="S122" s="51"/>
      <c r="T122" s="4"/>
      <c r="U122" s="4"/>
    </row>
    <row r="123" ht="18.0" customHeight="1">
      <c r="A123" s="35"/>
      <c r="B123" s="37" t="s">
        <v>226</v>
      </c>
      <c r="C123" s="38">
        <v>44919.0</v>
      </c>
      <c r="D123" s="37">
        <v>96.0</v>
      </c>
      <c r="E123" s="37">
        <v>606.0</v>
      </c>
      <c r="F123" s="37">
        <v>184.84</v>
      </c>
      <c r="G123" s="39">
        <v>7406.48</v>
      </c>
      <c r="H123" s="37" t="s">
        <v>53</v>
      </c>
      <c r="I123" s="37" t="s">
        <v>50</v>
      </c>
      <c r="J123" s="37" t="str">
        <f t="shared" si="4"/>
        <v>No</v>
      </c>
      <c r="K123" s="35"/>
      <c r="L123" s="35"/>
      <c r="M123" s="35"/>
      <c r="N123" s="4"/>
      <c r="O123" s="4"/>
      <c r="P123" s="50"/>
      <c r="Q123" s="50"/>
      <c r="R123" s="50"/>
      <c r="S123" s="51"/>
      <c r="T123" s="4"/>
      <c r="U123" s="4"/>
    </row>
    <row r="124" ht="18.0" customHeight="1">
      <c r="A124" s="35"/>
      <c r="B124" s="37" t="s">
        <v>227</v>
      </c>
      <c r="C124" s="38">
        <v>44645.0</v>
      </c>
      <c r="D124" s="37">
        <v>73.0</v>
      </c>
      <c r="E124" s="37">
        <v>971.0</v>
      </c>
      <c r="F124" s="37">
        <v>189.35</v>
      </c>
      <c r="G124" s="39">
        <v>3471.57</v>
      </c>
      <c r="H124" s="37" t="s">
        <v>56</v>
      </c>
      <c r="I124" s="37" t="s">
        <v>50</v>
      </c>
      <c r="J124" s="37" t="str">
        <f t="shared" si="4"/>
        <v>No</v>
      </c>
      <c r="K124" s="35"/>
      <c r="L124" s="35"/>
      <c r="M124" s="35"/>
      <c r="N124" s="4"/>
      <c r="O124" s="4"/>
      <c r="P124" s="50"/>
      <c r="Q124" s="50"/>
      <c r="R124" s="50"/>
      <c r="S124" s="51"/>
      <c r="T124" s="4"/>
      <c r="U124" s="4"/>
    </row>
    <row r="125" ht="18.0" customHeight="1">
      <c r="A125" s="35"/>
      <c r="B125" s="37" t="s">
        <v>228</v>
      </c>
      <c r="C125" s="38">
        <v>44817.0</v>
      </c>
      <c r="D125" s="37">
        <v>19.0</v>
      </c>
      <c r="E125" s="37">
        <v>988.0</v>
      </c>
      <c r="F125" s="37">
        <v>209.56</v>
      </c>
      <c r="G125" s="39">
        <v>5701.31</v>
      </c>
      <c r="H125" s="37" t="s">
        <v>59</v>
      </c>
      <c r="I125" s="37" t="s">
        <v>50</v>
      </c>
      <c r="J125" s="37" t="str">
        <f t="shared" si="4"/>
        <v>No</v>
      </c>
      <c r="K125" s="35"/>
      <c r="L125" s="35"/>
      <c r="M125" s="35"/>
      <c r="N125" s="4"/>
      <c r="O125" s="4"/>
      <c r="P125" s="50"/>
      <c r="Q125" s="50"/>
      <c r="R125" s="50"/>
      <c r="S125" s="51"/>
      <c r="T125" s="4"/>
      <c r="U125" s="4"/>
    </row>
    <row r="126" ht="18.0" customHeight="1">
      <c r="A126" s="35"/>
      <c r="B126" s="37" t="s">
        <v>229</v>
      </c>
      <c r="C126" s="38">
        <v>44887.0</v>
      </c>
      <c r="D126" s="37">
        <v>12.0</v>
      </c>
      <c r="E126" s="37">
        <v>889.0</v>
      </c>
      <c r="F126" s="37">
        <v>127.46</v>
      </c>
      <c r="G126" s="39">
        <v>2745.65</v>
      </c>
      <c r="H126" s="37" t="s">
        <v>61</v>
      </c>
      <c r="I126" s="37" t="s">
        <v>50</v>
      </c>
      <c r="J126" s="37" t="str">
        <f t="shared" si="4"/>
        <v>No</v>
      </c>
      <c r="K126" s="35"/>
      <c r="L126" s="35"/>
      <c r="M126" s="35"/>
      <c r="N126" s="4"/>
      <c r="O126" s="4"/>
      <c r="P126" s="50"/>
      <c r="Q126" s="50"/>
      <c r="R126" s="50"/>
      <c r="S126" s="51"/>
      <c r="T126" s="4"/>
      <c r="U126" s="4"/>
    </row>
    <row r="127" ht="18.0" customHeight="1">
      <c r="A127" s="35"/>
      <c r="B127" s="37" t="s">
        <v>230</v>
      </c>
      <c r="C127" s="38">
        <v>44852.0</v>
      </c>
      <c r="D127" s="37">
        <v>34.0</v>
      </c>
      <c r="E127" s="37">
        <v>173.0</v>
      </c>
      <c r="F127" s="37">
        <v>18.69</v>
      </c>
      <c r="G127" s="39">
        <v>6483.6</v>
      </c>
      <c r="H127" s="37" t="s">
        <v>63</v>
      </c>
      <c r="I127" s="37" t="s">
        <v>50</v>
      </c>
      <c r="J127" s="37" t="str">
        <f t="shared" si="4"/>
        <v>No</v>
      </c>
      <c r="K127" s="35"/>
      <c r="L127" s="35"/>
      <c r="M127" s="35"/>
      <c r="N127" s="4"/>
      <c r="O127" s="4"/>
      <c r="P127" s="50"/>
      <c r="Q127" s="50"/>
      <c r="R127" s="50"/>
      <c r="S127" s="51"/>
      <c r="T127" s="4"/>
      <c r="U127" s="4"/>
    </row>
    <row r="128" ht="18.0" customHeight="1">
      <c r="A128" s="35"/>
      <c r="B128" s="37" t="s">
        <v>36</v>
      </c>
      <c r="C128" s="38">
        <v>44775.0</v>
      </c>
      <c r="D128" s="37">
        <v>19.0</v>
      </c>
      <c r="E128" s="37">
        <v>513.0</v>
      </c>
      <c r="F128" s="37">
        <v>170.16</v>
      </c>
      <c r="G128" s="39">
        <v>87.35</v>
      </c>
      <c r="H128" s="37" t="s">
        <v>66</v>
      </c>
      <c r="I128" s="37" t="s">
        <v>38</v>
      </c>
      <c r="J128" s="37" t="str">
        <f t="shared" si="4"/>
        <v>No</v>
      </c>
      <c r="K128" s="35"/>
      <c r="L128" s="35"/>
      <c r="M128" s="35"/>
      <c r="N128" s="4"/>
      <c r="O128" s="4"/>
      <c r="P128" s="50"/>
      <c r="Q128" s="50"/>
      <c r="R128" s="50"/>
      <c r="S128" s="51"/>
      <c r="T128" s="4"/>
      <c r="U128" s="4"/>
    </row>
    <row r="129" ht="18.0" customHeight="1">
      <c r="A129" s="35"/>
      <c r="B129" s="37" t="s">
        <v>231</v>
      </c>
      <c r="C129" s="38">
        <v>44616.0</v>
      </c>
      <c r="D129" s="37">
        <v>91.0</v>
      </c>
      <c r="E129" s="37">
        <v>956.0</v>
      </c>
      <c r="F129" s="37">
        <v>131.74</v>
      </c>
      <c r="G129" s="39">
        <v>2619.55</v>
      </c>
      <c r="H129" s="37" t="s">
        <v>68</v>
      </c>
      <c r="I129" s="37" t="s">
        <v>50</v>
      </c>
      <c r="J129" s="37" t="str">
        <f t="shared" si="4"/>
        <v>Yes</v>
      </c>
      <c r="K129" s="35"/>
      <c r="L129" s="35"/>
      <c r="M129" s="35"/>
      <c r="N129" s="4"/>
      <c r="O129" s="4"/>
      <c r="P129" s="50"/>
      <c r="Q129" s="50"/>
      <c r="R129" s="50"/>
      <c r="S129" s="51"/>
      <c r="T129" s="4"/>
      <c r="U129" s="4"/>
    </row>
    <row r="130" ht="18.0" customHeight="1">
      <c r="A130" s="35"/>
      <c r="B130" s="37" t="s">
        <v>12</v>
      </c>
      <c r="C130" s="38">
        <v>44595.0</v>
      </c>
      <c r="D130" s="37">
        <v>21.0</v>
      </c>
      <c r="E130" s="37">
        <v>846.0</v>
      </c>
      <c r="F130" s="37">
        <v>84.57</v>
      </c>
      <c r="G130" s="39">
        <v>8824.54</v>
      </c>
      <c r="H130" s="37" t="s">
        <v>71</v>
      </c>
      <c r="I130" s="37" t="s">
        <v>50</v>
      </c>
      <c r="J130" s="37" t="str">
        <f t="shared" si="4"/>
        <v>No</v>
      </c>
      <c r="K130" s="35"/>
      <c r="L130" s="35"/>
      <c r="M130" s="35"/>
      <c r="N130" s="4"/>
      <c r="O130" s="4"/>
      <c r="P130" s="50"/>
      <c r="Q130" s="50"/>
      <c r="R130" s="50"/>
      <c r="S130" s="51"/>
      <c r="T130" s="4"/>
      <c r="U130" s="4"/>
    </row>
    <row r="131" ht="18.0" customHeight="1">
      <c r="A131" s="35"/>
      <c r="B131" s="37" t="s">
        <v>232</v>
      </c>
      <c r="C131" s="38">
        <v>44737.0</v>
      </c>
      <c r="D131" s="37">
        <v>29.0</v>
      </c>
      <c r="E131" s="37">
        <v>628.0</v>
      </c>
      <c r="F131" s="37">
        <v>103.4</v>
      </c>
      <c r="G131" s="39">
        <v>9734.93</v>
      </c>
      <c r="H131" s="37" t="s">
        <v>233</v>
      </c>
      <c r="I131" s="37" t="s">
        <v>50</v>
      </c>
      <c r="J131" s="37" t="str">
        <f t="shared" si="4"/>
        <v>No</v>
      </c>
      <c r="K131" s="35"/>
      <c r="L131" s="35"/>
      <c r="M131" s="35"/>
      <c r="N131" s="4"/>
      <c r="O131" s="4"/>
      <c r="P131" s="50"/>
      <c r="Q131" s="50"/>
      <c r="R131" s="50"/>
      <c r="S131" s="51"/>
      <c r="T131" s="4"/>
      <c r="U131" s="4"/>
    </row>
    <row r="132" ht="18.0" customHeight="1">
      <c r="A132" s="35"/>
      <c r="B132" s="37" t="s">
        <v>40</v>
      </c>
      <c r="C132" s="38">
        <v>44717.0</v>
      </c>
      <c r="D132" s="37">
        <v>33.0</v>
      </c>
      <c r="E132" s="37">
        <v>490.0</v>
      </c>
      <c r="F132" s="37">
        <v>79.14</v>
      </c>
      <c r="G132" s="39">
        <v>6282.04</v>
      </c>
      <c r="H132" s="37" t="s">
        <v>234</v>
      </c>
      <c r="I132" s="37" t="s">
        <v>38</v>
      </c>
      <c r="J132" s="37" t="str">
        <f t="shared" si="4"/>
        <v>No</v>
      </c>
      <c r="K132" s="35"/>
      <c r="L132" s="35"/>
      <c r="M132" s="35"/>
      <c r="N132" s="4"/>
      <c r="O132" s="4"/>
      <c r="P132" s="50"/>
      <c r="Q132" s="50"/>
      <c r="R132" s="50"/>
      <c r="S132" s="51"/>
      <c r="T132" s="4"/>
      <c r="U132" s="4"/>
    </row>
    <row r="133" ht="18.0" customHeight="1">
      <c r="A133" s="35"/>
      <c r="B133" s="37" t="s">
        <v>235</v>
      </c>
      <c r="C133" s="38">
        <v>44774.0</v>
      </c>
      <c r="D133" s="37">
        <v>74.0</v>
      </c>
      <c r="E133" s="37">
        <v>642.0</v>
      </c>
      <c r="F133" s="37">
        <v>23.21</v>
      </c>
      <c r="G133" s="39">
        <v>4191.44</v>
      </c>
      <c r="H133" s="37" t="s">
        <v>236</v>
      </c>
      <c r="I133" s="37" t="s">
        <v>38</v>
      </c>
      <c r="J133" s="37" t="str">
        <f t="shared" si="4"/>
        <v>No</v>
      </c>
      <c r="K133" s="35"/>
      <c r="L133" s="35"/>
      <c r="M133" s="35"/>
      <c r="N133" s="4"/>
      <c r="O133" s="4"/>
      <c r="P133" s="50"/>
      <c r="Q133" s="50"/>
      <c r="R133" s="50"/>
      <c r="S133" s="51"/>
      <c r="T133" s="4"/>
      <c r="U133" s="4"/>
    </row>
    <row r="134" ht="18.0" customHeight="1">
      <c r="A134" s="35"/>
      <c r="B134" s="37" t="s">
        <v>14</v>
      </c>
      <c r="C134" s="38">
        <v>44672.0</v>
      </c>
      <c r="D134" s="37">
        <v>6.0</v>
      </c>
      <c r="E134" s="37">
        <v>853.0</v>
      </c>
      <c r="F134" s="37">
        <v>172.22</v>
      </c>
      <c r="G134" s="39">
        <v>8028.08</v>
      </c>
      <c r="H134" s="37" t="s">
        <v>237</v>
      </c>
      <c r="I134" s="37" t="s">
        <v>42</v>
      </c>
      <c r="J134" s="37" t="str">
        <f t="shared" si="4"/>
        <v>No</v>
      </c>
      <c r="K134" s="35"/>
      <c r="L134" s="35"/>
      <c r="M134" s="35"/>
      <c r="N134" s="4"/>
      <c r="O134" s="4"/>
      <c r="P134" s="50"/>
      <c r="Q134" s="50"/>
      <c r="R134" s="50"/>
      <c r="S134" s="51"/>
      <c r="T134" s="4"/>
      <c r="U134" s="4"/>
    </row>
    <row r="135" ht="18.0" customHeight="1">
      <c r="A135" s="35"/>
      <c r="B135" s="37" t="s">
        <v>238</v>
      </c>
      <c r="C135" s="38">
        <v>44688.0</v>
      </c>
      <c r="D135" s="37">
        <v>80.0</v>
      </c>
      <c r="E135" s="37">
        <v>793.0</v>
      </c>
      <c r="F135" s="37">
        <v>222.03</v>
      </c>
      <c r="G135" s="39">
        <v>3624.17</v>
      </c>
      <c r="H135" s="37" t="s">
        <v>239</v>
      </c>
      <c r="I135" s="37" t="s">
        <v>50</v>
      </c>
      <c r="J135" s="37" t="str">
        <f t="shared" si="4"/>
        <v>No</v>
      </c>
      <c r="K135" s="35"/>
      <c r="L135" s="35"/>
      <c r="M135" s="35"/>
      <c r="N135" s="4"/>
      <c r="O135" s="4"/>
      <c r="P135" s="50"/>
      <c r="Q135" s="50"/>
      <c r="R135" s="50"/>
      <c r="S135" s="51"/>
      <c r="T135" s="4"/>
      <c r="U135" s="4"/>
    </row>
    <row r="136" ht="18.0" customHeight="1">
      <c r="A136" s="35"/>
      <c r="B136" s="37" t="s">
        <v>17</v>
      </c>
      <c r="C136" s="38">
        <v>44829.0</v>
      </c>
      <c r="D136" s="37">
        <v>41.0</v>
      </c>
      <c r="E136" s="37">
        <v>982.0</v>
      </c>
      <c r="F136" s="37">
        <v>127.37</v>
      </c>
      <c r="G136" s="39">
        <v>7713.33</v>
      </c>
      <c r="H136" s="37" t="s">
        <v>240</v>
      </c>
      <c r="I136" s="37" t="s">
        <v>38</v>
      </c>
      <c r="J136" s="37" t="str">
        <f t="shared" si="4"/>
        <v>No</v>
      </c>
      <c r="K136" s="35"/>
      <c r="L136" s="35"/>
      <c r="M136" s="35"/>
      <c r="N136" s="4"/>
      <c r="O136" s="4"/>
      <c r="P136" s="50"/>
      <c r="Q136" s="50"/>
      <c r="R136" s="50"/>
      <c r="S136" s="51"/>
      <c r="T136" s="4"/>
      <c r="U136" s="4"/>
    </row>
    <row r="137" ht="18.0" customHeight="1">
      <c r="A137" s="35"/>
      <c r="B137" s="37" t="s">
        <v>241</v>
      </c>
      <c r="C137" s="38">
        <v>44874.0</v>
      </c>
      <c r="D137" s="37">
        <v>70.0</v>
      </c>
      <c r="E137" s="37">
        <v>365.0</v>
      </c>
      <c r="F137" s="37">
        <v>97.92</v>
      </c>
      <c r="G137" s="39">
        <v>2010.28</v>
      </c>
      <c r="H137" s="37" t="s">
        <v>242</v>
      </c>
      <c r="I137" s="37" t="s">
        <v>42</v>
      </c>
      <c r="J137" s="37" t="str">
        <f t="shared" si="4"/>
        <v>No</v>
      </c>
      <c r="K137" s="35"/>
      <c r="L137" s="35"/>
      <c r="M137" s="35"/>
      <c r="N137" s="4"/>
      <c r="O137" s="4"/>
      <c r="P137" s="50"/>
      <c r="Q137" s="50"/>
      <c r="R137" s="50"/>
      <c r="S137" s="51"/>
      <c r="T137" s="4"/>
      <c r="U137" s="4"/>
    </row>
    <row r="138" ht="18.0" customHeight="1">
      <c r="A138" s="35"/>
      <c r="B138" s="37" t="s">
        <v>243</v>
      </c>
      <c r="C138" s="38">
        <v>44660.0</v>
      </c>
      <c r="D138" s="37">
        <v>17.0</v>
      </c>
      <c r="E138" s="37">
        <v>185.0</v>
      </c>
      <c r="F138" s="37">
        <v>97.97</v>
      </c>
      <c r="G138" s="39">
        <v>7767.46</v>
      </c>
      <c r="H138" s="37" t="s">
        <v>87</v>
      </c>
      <c r="I138" s="37" t="s">
        <v>50</v>
      </c>
      <c r="J138" s="37" t="str">
        <f t="shared" si="4"/>
        <v>No</v>
      </c>
      <c r="K138" s="35"/>
      <c r="L138" s="35"/>
      <c r="M138" s="35"/>
      <c r="N138" s="4"/>
      <c r="O138" s="4"/>
      <c r="P138" s="50"/>
      <c r="Q138" s="50"/>
      <c r="R138" s="50"/>
      <c r="S138" s="51"/>
      <c r="T138" s="4"/>
      <c r="U138" s="4"/>
    </row>
    <row r="139" ht="18.0" customHeight="1">
      <c r="A139" s="35"/>
      <c r="B139" s="37" t="s">
        <v>244</v>
      </c>
      <c r="C139" s="38">
        <v>44660.0</v>
      </c>
      <c r="D139" s="37">
        <v>74.0</v>
      </c>
      <c r="E139" s="37">
        <v>576.0</v>
      </c>
      <c r="F139" s="37">
        <v>113.04</v>
      </c>
      <c r="G139" s="39">
        <v>8980.54</v>
      </c>
      <c r="H139" s="37" t="s">
        <v>37</v>
      </c>
      <c r="I139" s="37" t="s">
        <v>50</v>
      </c>
      <c r="J139" s="37" t="str">
        <f t="shared" si="4"/>
        <v>No</v>
      </c>
      <c r="K139" s="35"/>
      <c r="L139" s="35"/>
      <c r="M139" s="35"/>
      <c r="N139" s="4"/>
      <c r="O139" s="4"/>
      <c r="P139" s="50"/>
      <c r="Q139" s="50"/>
      <c r="R139" s="50"/>
      <c r="S139" s="51"/>
      <c r="T139" s="4"/>
      <c r="U139" s="4"/>
    </row>
    <row r="140" ht="18.0" customHeight="1">
      <c r="A140" s="35"/>
      <c r="B140" s="37" t="s">
        <v>245</v>
      </c>
      <c r="C140" s="38">
        <v>44793.0</v>
      </c>
      <c r="D140" s="37">
        <v>94.0</v>
      </c>
      <c r="E140" s="37">
        <v>523.0</v>
      </c>
      <c r="F140" s="37">
        <v>246.7</v>
      </c>
      <c r="G140" s="39">
        <v>609.31</v>
      </c>
      <c r="H140" s="37" t="s">
        <v>41</v>
      </c>
      <c r="I140" s="37" t="s">
        <v>42</v>
      </c>
      <c r="J140" s="37" t="str">
        <f t="shared" si="4"/>
        <v>No</v>
      </c>
      <c r="K140" s="35"/>
      <c r="L140" s="35"/>
      <c r="M140" s="35"/>
      <c r="N140" s="4"/>
      <c r="O140" s="4"/>
      <c r="P140" s="50"/>
      <c r="Q140" s="50"/>
      <c r="R140" s="50"/>
      <c r="S140" s="51"/>
      <c r="T140" s="4"/>
      <c r="U140" s="4"/>
    </row>
    <row r="141" ht="18.0" customHeight="1">
      <c r="A141" s="35"/>
      <c r="B141" s="37" t="s">
        <v>48</v>
      </c>
      <c r="C141" s="38">
        <v>44765.0</v>
      </c>
      <c r="D141" s="37">
        <v>46.0</v>
      </c>
      <c r="E141" s="37">
        <v>303.0</v>
      </c>
      <c r="F141" s="37">
        <v>219.89</v>
      </c>
      <c r="G141" s="39">
        <v>4140.78</v>
      </c>
      <c r="H141" s="37" t="s">
        <v>45</v>
      </c>
      <c r="I141" s="37" t="s">
        <v>42</v>
      </c>
      <c r="J141" s="37" t="str">
        <f t="shared" si="4"/>
        <v>No</v>
      </c>
      <c r="K141" s="35"/>
      <c r="L141" s="35"/>
      <c r="M141" s="35"/>
      <c r="N141" s="4"/>
      <c r="O141" s="4"/>
      <c r="P141" s="50"/>
      <c r="Q141" s="50"/>
      <c r="R141" s="50"/>
      <c r="S141" s="51"/>
      <c r="T141" s="4"/>
      <c r="U141" s="4"/>
    </row>
    <row r="142" ht="18.0" customHeight="1">
      <c r="A142" s="35"/>
      <c r="B142" s="37" t="s">
        <v>246</v>
      </c>
      <c r="C142" s="38">
        <v>44660.0</v>
      </c>
      <c r="D142" s="37">
        <v>57.0</v>
      </c>
      <c r="E142" s="37">
        <v>159.0</v>
      </c>
      <c r="F142" s="37">
        <v>185.79</v>
      </c>
      <c r="G142" s="39">
        <v>2745.14</v>
      </c>
      <c r="H142" s="37" t="s">
        <v>49</v>
      </c>
      <c r="I142" s="37" t="s">
        <v>42</v>
      </c>
      <c r="J142" s="37" t="str">
        <f t="shared" si="4"/>
        <v>No</v>
      </c>
      <c r="K142" s="35"/>
      <c r="L142" s="35"/>
      <c r="M142" s="35"/>
      <c r="N142" s="4"/>
      <c r="O142" s="4"/>
      <c r="P142" s="50"/>
      <c r="Q142" s="50"/>
      <c r="R142" s="50"/>
      <c r="S142" s="51"/>
      <c r="T142" s="4"/>
      <c r="U142" s="4"/>
    </row>
    <row r="143" ht="18.0" customHeight="1">
      <c r="A143" s="35"/>
      <c r="B143" s="37" t="s">
        <v>247</v>
      </c>
      <c r="C143" s="38">
        <v>44866.0</v>
      </c>
      <c r="D143" s="37">
        <v>59.0</v>
      </c>
      <c r="E143" s="37">
        <v>401.0</v>
      </c>
      <c r="F143" s="37">
        <v>235.32</v>
      </c>
      <c r="G143" s="39">
        <v>6447.9</v>
      </c>
      <c r="H143" s="37" t="s">
        <v>53</v>
      </c>
      <c r="I143" s="37" t="s">
        <v>50</v>
      </c>
      <c r="J143" s="37" t="str">
        <f t="shared" si="4"/>
        <v>No</v>
      </c>
      <c r="K143" s="35"/>
      <c r="L143" s="35"/>
      <c r="M143" s="35"/>
      <c r="N143" s="4"/>
      <c r="O143" s="4"/>
      <c r="P143" s="50"/>
      <c r="Q143" s="50"/>
      <c r="R143" s="50"/>
      <c r="S143" s="51"/>
      <c r="T143" s="4"/>
      <c r="U143" s="4"/>
    </row>
    <row r="144" ht="18.0" customHeight="1">
      <c r="A144" s="35"/>
      <c r="B144" s="37" t="s">
        <v>248</v>
      </c>
      <c r="C144" s="38">
        <v>44835.0</v>
      </c>
      <c r="D144" s="37">
        <v>99.0</v>
      </c>
      <c r="E144" s="37">
        <v>801.0</v>
      </c>
      <c r="F144" s="37">
        <v>94.86</v>
      </c>
      <c r="G144" s="39">
        <v>3652.57</v>
      </c>
      <c r="H144" s="37" t="s">
        <v>56</v>
      </c>
      <c r="I144" s="37" t="s">
        <v>42</v>
      </c>
      <c r="J144" s="37" t="str">
        <f t="shared" si="4"/>
        <v>No</v>
      </c>
      <c r="K144" s="35"/>
      <c r="L144" s="35"/>
      <c r="M144" s="35"/>
      <c r="N144" s="4"/>
      <c r="O144" s="4"/>
      <c r="P144" s="50"/>
      <c r="Q144" s="50"/>
      <c r="R144" s="50"/>
      <c r="S144" s="51"/>
      <c r="T144" s="4"/>
      <c r="U144" s="4"/>
    </row>
    <row r="145" ht="18.0" customHeight="1">
      <c r="A145" s="35"/>
      <c r="B145" s="37" t="s">
        <v>249</v>
      </c>
      <c r="C145" s="38">
        <v>44859.0</v>
      </c>
      <c r="D145" s="37">
        <v>83.0</v>
      </c>
      <c r="E145" s="37">
        <v>715.0</v>
      </c>
      <c r="F145" s="37">
        <v>2.5</v>
      </c>
      <c r="G145" s="39">
        <v>4527.1</v>
      </c>
      <c r="H145" s="37" t="s">
        <v>59</v>
      </c>
      <c r="I145" s="37" t="s">
        <v>50</v>
      </c>
      <c r="J145" s="37" t="str">
        <f t="shared" si="4"/>
        <v>No</v>
      </c>
      <c r="K145" s="35"/>
      <c r="L145" s="35"/>
      <c r="M145" s="35"/>
      <c r="N145" s="4"/>
      <c r="O145" s="4"/>
      <c r="P145" s="50"/>
      <c r="Q145" s="50"/>
      <c r="R145" s="50"/>
      <c r="S145" s="51"/>
      <c r="T145" s="4"/>
      <c r="U145" s="4"/>
    </row>
    <row r="146" ht="18.0" customHeight="1">
      <c r="A146" s="35"/>
      <c r="B146" s="37" t="s">
        <v>250</v>
      </c>
      <c r="C146" s="38">
        <v>44746.0</v>
      </c>
      <c r="D146" s="37">
        <v>44.0</v>
      </c>
      <c r="E146" s="37">
        <v>240.0</v>
      </c>
      <c r="F146" s="37">
        <v>240.75</v>
      </c>
      <c r="G146" s="39">
        <v>9558.67</v>
      </c>
      <c r="H146" s="37" t="s">
        <v>61</v>
      </c>
      <c r="I146" s="37" t="s">
        <v>42</v>
      </c>
      <c r="J146" s="37" t="str">
        <f t="shared" si="4"/>
        <v>No</v>
      </c>
      <c r="K146" s="35"/>
      <c r="L146" s="35"/>
      <c r="M146" s="35"/>
      <c r="N146" s="4"/>
      <c r="O146" s="4"/>
      <c r="P146" s="50"/>
      <c r="Q146" s="50"/>
      <c r="R146" s="50"/>
      <c r="S146" s="51"/>
      <c r="T146" s="4"/>
      <c r="U146" s="4"/>
    </row>
    <row r="147" ht="18.0" customHeight="1">
      <c r="A147" s="35"/>
      <c r="B147" s="37" t="s">
        <v>251</v>
      </c>
      <c r="C147" s="38">
        <v>44802.0</v>
      </c>
      <c r="D147" s="37">
        <v>88.0</v>
      </c>
      <c r="E147" s="37">
        <v>632.0</v>
      </c>
      <c r="F147" s="37">
        <v>47.59</v>
      </c>
      <c r="G147" s="39">
        <v>8181.01</v>
      </c>
      <c r="H147" s="37" t="s">
        <v>63</v>
      </c>
      <c r="I147" s="37" t="s">
        <v>38</v>
      </c>
      <c r="J147" s="37" t="str">
        <f t="shared" si="4"/>
        <v>No</v>
      </c>
      <c r="K147" s="35"/>
      <c r="L147" s="35"/>
      <c r="M147" s="35"/>
      <c r="N147" s="4"/>
      <c r="O147" s="4"/>
      <c r="P147" s="50"/>
      <c r="Q147" s="50"/>
      <c r="R147" s="50"/>
      <c r="S147" s="51"/>
      <c r="T147" s="4"/>
      <c r="U147" s="4"/>
    </row>
    <row r="148" ht="18.0" customHeight="1">
      <c r="A148" s="35"/>
      <c r="B148" s="37" t="s">
        <v>252</v>
      </c>
      <c r="C148" s="38">
        <v>44674.0</v>
      </c>
      <c r="D148" s="37">
        <v>21.0</v>
      </c>
      <c r="E148" s="37">
        <v>14.0</v>
      </c>
      <c r="F148" s="37">
        <v>3.28</v>
      </c>
      <c r="G148" s="39">
        <v>993.59</v>
      </c>
      <c r="H148" s="37" t="s">
        <v>66</v>
      </c>
      <c r="I148" s="37" t="s">
        <v>42</v>
      </c>
      <c r="J148" s="37" t="str">
        <f t="shared" si="4"/>
        <v>No</v>
      </c>
      <c r="K148" s="35"/>
      <c r="L148" s="35"/>
      <c r="M148" s="35"/>
      <c r="N148" s="4"/>
      <c r="O148" s="4"/>
      <c r="P148" s="50"/>
      <c r="Q148" s="50"/>
      <c r="R148" s="50"/>
      <c r="S148" s="51"/>
      <c r="T148" s="4"/>
      <c r="U148" s="4"/>
    </row>
    <row r="149" ht="18.0" customHeight="1">
      <c r="A149" s="35"/>
      <c r="B149" s="37" t="s">
        <v>253</v>
      </c>
      <c r="C149" s="38">
        <v>44647.0</v>
      </c>
      <c r="D149" s="37">
        <v>44.0</v>
      </c>
      <c r="E149" s="37">
        <v>418.0</v>
      </c>
      <c r="F149" s="37">
        <v>31.44</v>
      </c>
      <c r="G149" s="39">
        <v>2934.84</v>
      </c>
      <c r="H149" s="37" t="s">
        <v>68</v>
      </c>
      <c r="I149" s="37" t="s">
        <v>42</v>
      </c>
      <c r="J149" s="37" t="str">
        <f t="shared" si="4"/>
        <v>No</v>
      </c>
      <c r="K149" s="35"/>
      <c r="L149" s="35"/>
      <c r="M149" s="35"/>
      <c r="N149" s="4"/>
      <c r="O149" s="4"/>
      <c r="P149" s="50"/>
      <c r="Q149" s="50"/>
      <c r="R149" s="50"/>
      <c r="S149" s="51"/>
      <c r="T149" s="4"/>
      <c r="U149" s="4"/>
    </row>
    <row r="150" ht="18.0" customHeight="1">
      <c r="A150" s="35"/>
      <c r="B150" s="37" t="s">
        <v>254</v>
      </c>
      <c r="C150" s="38">
        <v>44789.0</v>
      </c>
      <c r="D150" s="37">
        <v>72.0</v>
      </c>
      <c r="E150" s="37">
        <v>197.0</v>
      </c>
      <c r="F150" s="37">
        <v>149.22</v>
      </c>
      <c r="G150" s="39">
        <v>6426.6</v>
      </c>
      <c r="H150" s="37" t="s">
        <v>71</v>
      </c>
      <c r="I150" s="37" t="s">
        <v>50</v>
      </c>
      <c r="J150" s="37" t="str">
        <f t="shared" si="4"/>
        <v>No</v>
      </c>
      <c r="K150" s="35"/>
      <c r="L150" s="35"/>
      <c r="M150" s="35"/>
      <c r="N150" s="4"/>
      <c r="O150" s="4"/>
      <c r="P150" s="50"/>
      <c r="Q150" s="50"/>
      <c r="R150" s="50"/>
      <c r="S150" s="51"/>
      <c r="T150" s="4"/>
      <c r="U150" s="4"/>
    </row>
    <row r="151" ht="18.0" customHeight="1">
      <c r="A151" s="35"/>
      <c r="B151" s="37" t="s">
        <v>255</v>
      </c>
      <c r="C151" s="38">
        <v>44633.0</v>
      </c>
      <c r="D151" s="37">
        <v>93.0</v>
      </c>
      <c r="E151" s="37">
        <v>861.0</v>
      </c>
      <c r="F151" s="37">
        <v>155.63</v>
      </c>
      <c r="G151" s="39">
        <v>5377.9</v>
      </c>
      <c r="H151" s="37" t="s">
        <v>256</v>
      </c>
      <c r="I151" s="37" t="s">
        <v>42</v>
      </c>
      <c r="J151" s="37" t="str">
        <f t="shared" si="4"/>
        <v>No</v>
      </c>
      <c r="K151" s="35"/>
      <c r="L151" s="35"/>
      <c r="M151" s="35"/>
      <c r="N151" s="4"/>
      <c r="O151" s="4"/>
      <c r="P151" s="50"/>
      <c r="Q151" s="50"/>
      <c r="R151" s="50"/>
      <c r="S151" s="51"/>
      <c r="T151" s="4"/>
      <c r="U151" s="4"/>
    </row>
    <row r="152" ht="18.0" customHeight="1">
      <c r="A152" s="35"/>
      <c r="B152" s="37" t="s">
        <v>257</v>
      </c>
      <c r="C152" s="38">
        <v>44608.0</v>
      </c>
      <c r="D152" s="37">
        <v>25.0</v>
      </c>
      <c r="E152" s="37">
        <v>238.0</v>
      </c>
      <c r="F152" s="37">
        <v>163.14</v>
      </c>
      <c r="G152" s="39">
        <v>5367.8</v>
      </c>
      <c r="H152" s="37" t="s">
        <v>258</v>
      </c>
      <c r="I152" s="37" t="s">
        <v>42</v>
      </c>
      <c r="J152" s="37" t="str">
        <f t="shared" si="4"/>
        <v>No</v>
      </c>
      <c r="K152" s="35"/>
      <c r="L152" s="35"/>
      <c r="M152" s="35"/>
      <c r="N152" s="4"/>
      <c r="O152" s="4"/>
      <c r="P152" s="50"/>
      <c r="Q152" s="50"/>
      <c r="R152" s="50"/>
      <c r="S152" s="51"/>
      <c r="T152" s="4"/>
      <c r="U152" s="4"/>
    </row>
    <row r="153" ht="18.0" customHeight="1">
      <c r="A153" s="35"/>
      <c r="B153" s="37" t="s">
        <v>259</v>
      </c>
      <c r="C153" s="38">
        <v>44715.0</v>
      </c>
      <c r="D153" s="37">
        <v>95.0</v>
      </c>
      <c r="E153" s="37">
        <v>581.0</v>
      </c>
      <c r="F153" s="37">
        <v>128.66</v>
      </c>
      <c r="G153" s="39">
        <v>675.98</v>
      </c>
      <c r="H153" s="37" t="s">
        <v>260</v>
      </c>
      <c r="I153" s="37" t="s">
        <v>38</v>
      </c>
      <c r="J153" s="37" t="str">
        <f t="shared" si="4"/>
        <v>No</v>
      </c>
      <c r="K153" s="35"/>
      <c r="L153" s="35"/>
      <c r="M153" s="35"/>
      <c r="N153" s="4"/>
      <c r="O153" s="4"/>
      <c r="P153" s="50"/>
      <c r="Q153" s="50"/>
      <c r="R153" s="50"/>
      <c r="S153" s="51"/>
      <c r="T153" s="4"/>
      <c r="U153" s="4"/>
    </row>
    <row r="154" ht="18.0" customHeight="1">
      <c r="A154" s="35"/>
      <c r="B154" s="37" t="s">
        <v>261</v>
      </c>
      <c r="C154" s="38">
        <v>44622.0</v>
      </c>
      <c r="D154" s="37">
        <v>70.0</v>
      </c>
      <c r="E154" s="37">
        <v>657.0</v>
      </c>
      <c r="F154" s="37">
        <v>110.88</v>
      </c>
      <c r="G154" s="39">
        <v>839.46</v>
      </c>
      <c r="H154" s="37" t="s">
        <v>262</v>
      </c>
      <c r="I154" s="37" t="s">
        <v>42</v>
      </c>
      <c r="J154" s="37" t="str">
        <f t="shared" si="4"/>
        <v>No</v>
      </c>
      <c r="K154" s="35"/>
      <c r="L154" s="35"/>
      <c r="M154" s="35"/>
      <c r="N154" s="4"/>
      <c r="O154" s="4"/>
      <c r="P154" s="50"/>
      <c r="Q154" s="50"/>
      <c r="R154" s="50"/>
      <c r="S154" s="51"/>
      <c r="T154" s="4"/>
      <c r="U154" s="4"/>
    </row>
    <row r="155" ht="18.0" customHeight="1">
      <c r="A155" s="35"/>
      <c r="B155" s="37" t="s">
        <v>17</v>
      </c>
      <c r="C155" s="38">
        <v>44604.0</v>
      </c>
      <c r="D155" s="37">
        <v>21.0</v>
      </c>
      <c r="E155" s="37">
        <v>410.0</v>
      </c>
      <c r="F155" s="37">
        <v>217.49</v>
      </c>
      <c r="G155" s="39">
        <v>1148.89</v>
      </c>
      <c r="H155" s="37" t="s">
        <v>263</v>
      </c>
      <c r="I155" s="37" t="s">
        <v>42</v>
      </c>
      <c r="J155" s="37" t="str">
        <f t="shared" si="4"/>
        <v>No</v>
      </c>
      <c r="K155" s="35"/>
      <c r="L155" s="35"/>
      <c r="M155" s="35"/>
      <c r="N155" s="4"/>
      <c r="O155" s="4"/>
      <c r="P155" s="50"/>
      <c r="Q155" s="50"/>
      <c r="R155" s="50"/>
      <c r="S155" s="51"/>
      <c r="T155" s="4"/>
      <c r="U155" s="4"/>
    </row>
    <row r="156" ht="18.0" customHeight="1">
      <c r="A156" s="35"/>
      <c r="B156" s="37" t="s">
        <v>264</v>
      </c>
      <c r="C156" s="38">
        <v>44689.0</v>
      </c>
      <c r="D156" s="37">
        <v>61.0</v>
      </c>
      <c r="E156" s="37">
        <v>641.0</v>
      </c>
      <c r="F156" s="37">
        <v>229.17</v>
      </c>
      <c r="G156" s="39">
        <v>2352.47</v>
      </c>
      <c r="H156" s="37" t="s">
        <v>265</v>
      </c>
      <c r="I156" s="37" t="s">
        <v>50</v>
      </c>
      <c r="J156" s="37" t="str">
        <f t="shared" si="4"/>
        <v>No</v>
      </c>
      <c r="K156" s="35"/>
      <c r="L156" s="35"/>
      <c r="M156" s="35"/>
      <c r="N156" s="4"/>
      <c r="O156" s="4"/>
      <c r="P156" s="50"/>
      <c r="Q156" s="50"/>
      <c r="R156" s="50"/>
      <c r="S156" s="51"/>
      <c r="T156" s="4"/>
      <c r="U156" s="4"/>
    </row>
    <row r="157" ht="18.0" customHeight="1">
      <c r="A157" s="35"/>
      <c r="B157" s="37" t="s">
        <v>266</v>
      </c>
      <c r="C157" s="38">
        <v>44843.0</v>
      </c>
      <c r="D157" s="37">
        <v>25.0</v>
      </c>
      <c r="E157" s="37">
        <v>307.0</v>
      </c>
      <c r="F157" s="37">
        <v>200.65</v>
      </c>
      <c r="G157" s="39">
        <v>310.03</v>
      </c>
      <c r="H157" s="37" t="s">
        <v>49</v>
      </c>
      <c r="I157" s="37" t="s">
        <v>38</v>
      </c>
      <c r="J157" s="37" t="str">
        <f t="shared" si="4"/>
        <v>No</v>
      </c>
      <c r="K157" s="35"/>
      <c r="L157" s="35"/>
      <c r="M157" s="35"/>
      <c r="N157" s="4"/>
      <c r="O157" s="4"/>
      <c r="P157" s="50"/>
      <c r="Q157" s="50"/>
      <c r="R157" s="50"/>
      <c r="S157" s="51"/>
      <c r="T157" s="4"/>
      <c r="U157" s="4"/>
    </row>
    <row r="158" ht="18.0" customHeight="1">
      <c r="A158" s="35"/>
      <c r="B158" s="37" t="s">
        <v>267</v>
      </c>
      <c r="C158" s="38">
        <v>44736.0</v>
      </c>
      <c r="D158" s="37">
        <v>6.0</v>
      </c>
      <c r="E158" s="37">
        <v>770.0</v>
      </c>
      <c r="F158" s="37">
        <v>60.85</v>
      </c>
      <c r="G158" s="39">
        <v>5941.5</v>
      </c>
      <c r="H158" s="37" t="s">
        <v>53</v>
      </c>
      <c r="I158" s="37" t="s">
        <v>50</v>
      </c>
      <c r="J158" s="37" t="str">
        <f t="shared" si="4"/>
        <v>No</v>
      </c>
      <c r="K158" s="35"/>
      <c r="L158" s="35"/>
      <c r="M158" s="35"/>
      <c r="N158" s="4"/>
      <c r="O158" s="4"/>
      <c r="P158" s="50"/>
      <c r="Q158" s="50"/>
      <c r="R158" s="50"/>
      <c r="S158" s="51"/>
      <c r="T158" s="4"/>
      <c r="U158" s="4"/>
    </row>
    <row r="159" ht="18.0" customHeight="1">
      <c r="A159" s="35"/>
      <c r="B159" s="37" t="s">
        <v>268</v>
      </c>
      <c r="C159" s="38">
        <v>44626.0</v>
      </c>
      <c r="D159" s="37">
        <v>37.0</v>
      </c>
      <c r="E159" s="37">
        <v>433.0</v>
      </c>
      <c r="F159" s="37">
        <v>14.12</v>
      </c>
      <c r="G159" s="39">
        <v>6994.62</v>
      </c>
      <c r="H159" s="37" t="s">
        <v>56</v>
      </c>
      <c r="I159" s="37" t="s">
        <v>38</v>
      </c>
      <c r="J159" s="37" t="str">
        <f t="shared" si="4"/>
        <v>No</v>
      </c>
      <c r="K159" s="35"/>
      <c r="L159" s="35"/>
      <c r="M159" s="35"/>
      <c r="N159" s="4"/>
      <c r="O159" s="4"/>
      <c r="P159" s="50"/>
      <c r="Q159" s="50"/>
      <c r="R159" s="50"/>
      <c r="S159" s="51"/>
      <c r="T159" s="4"/>
      <c r="U159" s="4"/>
    </row>
    <row r="160" ht="18.0" customHeight="1">
      <c r="A160" s="35"/>
      <c r="B160" s="37" t="s">
        <v>269</v>
      </c>
      <c r="C160" s="38">
        <v>44783.0</v>
      </c>
      <c r="D160" s="37">
        <v>24.0</v>
      </c>
      <c r="E160" s="37">
        <v>233.0</v>
      </c>
      <c r="F160" s="37">
        <v>98.26</v>
      </c>
      <c r="G160" s="39">
        <v>3252.23</v>
      </c>
      <c r="H160" s="37" t="s">
        <v>59</v>
      </c>
      <c r="I160" s="52" t="s">
        <v>42</v>
      </c>
      <c r="J160" s="37" t="str">
        <f t="shared" si="4"/>
        <v>No</v>
      </c>
      <c r="K160" s="35"/>
      <c r="L160" s="35"/>
      <c r="M160" s="35"/>
      <c r="N160" s="4"/>
      <c r="O160" s="4"/>
      <c r="P160" s="50"/>
      <c r="Q160" s="50"/>
      <c r="R160" s="50"/>
      <c r="S160" s="51"/>
      <c r="T160" s="4"/>
      <c r="U160" s="4"/>
    </row>
    <row r="161" ht="18.0" customHeight="1">
      <c r="A161" s="35"/>
      <c r="B161" s="37" t="s">
        <v>20</v>
      </c>
      <c r="C161" s="38">
        <v>44815.0</v>
      </c>
      <c r="D161" s="37">
        <v>12.0</v>
      </c>
      <c r="E161" s="37">
        <v>714.0</v>
      </c>
      <c r="F161" s="37">
        <v>89.16</v>
      </c>
      <c r="G161" s="39">
        <v>6270.47</v>
      </c>
      <c r="H161" s="37" t="s">
        <v>61</v>
      </c>
      <c r="I161" s="52" t="s">
        <v>38</v>
      </c>
      <c r="J161" s="37" t="str">
        <f t="shared" si="4"/>
        <v>No</v>
      </c>
      <c r="K161" s="35"/>
      <c r="L161" s="35"/>
      <c r="M161" s="35"/>
      <c r="N161" s="4"/>
      <c r="O161" s="4"/>
      <c r="P161" s="50"/>
      <c r="Q161" s="50"/>
      <c r="R161" s="50"/>
      <c r="S161" s="51"/>
      <c r="T161" s="4"/>
      <c r="U161" s="4"/>
    </row>
    <row r="162" ht="18.0" customHeight="1">
      <c r="A162" s="35"/>
      <c r="B162" s="37" t="s">
        <v>270</v>
      </c>
      <c r="C162" s="38">
        <v>44873.0</v>
      </c>
      <c r="D162" s="37">
        <v>18.0</v>
      </c>
      <c r="E162" s="37">
        <v>808.0</v>
      </c>
      <c r="F162" s="37">
        <v>7.52</v>
      </c>
      <c r="G162" s="39">
        <v>669.21</v>
      </c>
      <c r="H162" s="37" t="s">
        <v>271</v>
      </c>
      <c r="I162" s="52" t="s">
        <v>42</v>
      </c>
      <c r="J162" s="37" t="str">
        <f t="shared" si="4"/>
        <v>No</v>
      </c>
      <c r="K162" s="35"/>
      <c r="L162" s="35"/>
      <c r="M162" s="35"/>
      <c r="N162" s="4"/>
      <c r="O162" s="4"/>
      <c r="P162" s="50"/>
      <c r="Q162" s="50"/>
      <c r="R162" s="50"/>
      <c r="S162" s="51"/>
      <c r="T162" s="4"/>
      <c r="U162" s="4"/>
    </row>
    <row r="163" ht="18.0" customHeight="1">
      <c r="A163" s="35"/>
      <c r="B163" s="37" t="s">
        <v>272</v>
      </c>
      <c r="C163" s="38">
        <v>44601.0</v>
      </c>
      <c r="D163" s="37">
        <v>53.0</v>
      </c>
      <c r="E163" s="37">
        <v>622.0</v>
      </c>
      <c r="F163" s="37">
        <v>4.94</v>
      </c>
      <c r="G163" s="39">
        <v>2303.66</v>
      </c>
      <c r="H163" s="37" t="s">
        <v>273</v>
      </c>
      <c r="I163" s="52" t="s">
        <v>38</v>
      </c>
      <c r="J163" s="37" t="str">
        <f t="shared" si="4"/>
        <v>No</v>
      </c>
      <c r="K163" s="35"/>
      <c r="L163" s="35"/>
      <c r="M163" s="35"/>
      <c r="N163" s="4"/>
      <c r="O163" s="4"/>
      <c r="P163" s="50"/>
      <c r="Q163" s="50"/>
      <c r="R163" s="50"/>
      <c r="S163" s="51"/>
      <c r="T163" s="4"/>
      <c r="U163" s="4"/>
    </row>
    <row r="164" ht="18.0" customHeight="1">
      <c r="A164" s="35"/>
      <c r="B164" s="37" t="s">
        <v>274</v>
      </c>
      <c r="C164" s="38">
        <v>44921.0</v>
      </c>
      <c r="D164" s="37">
        <v>39.0</v>
      </c>
      <c r="E164" s="37">
        <v>164.0</v>
      </c>
      <c r="F164" s="37">
        <v>107.23</v>
      </c>
      <c r="G164" s="39">
        <v>2037.95</v>
      </c>
      <c r="H164" s="37" t="s">
        <v>275</v>
      </c>
      <c r="I164" s="52" t="s">
        <v>42</v>
      </c>
      <c r="J164" s="37" t="str">
        <f t="shared" si="4"/>
        <v>No</v>
      </c>
      <c r="K164" s="35"/>
      <c r="L164" s="35"/>
      <c r="M164" s="35"/>
      <c r="N164" s="4"/>
      <c r="O164" s="4"/>
      <c r="P164" s="50"/>
      <c r="Q164" s="50"/>
      <c r="R164" s="50"/>
      <c r="S164" s="51"/>
      <c r="T164" s="4"/>
      <c r="U164" s="4"/>
    </row>
    <row r="165" ht="18.0" customHeight="1">
      <c r="A165" s="35"/>
      <c r="B165" s="37" t="s">
        <v>276</v>
      </c>
      <c r="C165" s="38">
        <v>44754.0</v>
      </c>
      <c r="D165" s="37">
        <v>77.0</v>
      </c>
      <c r="E165" s="37">
        <v>82.0</v>
      </c>
      <c r="F165" s="37">
        <v>130.52</v>
      </c>
      <c r="G165" s="39">
        <v>3291.13</v>
      </c>
      <c r="H165" s="37" t="s">
        <v>277</v>
      </c>
      <c r="I165" s="52" t="s">
        <v>42</v>
      </c>
      <c r="J165" s="37" t="str">
        <f t="shared" si="4"/>
        <v>No</v>
      </c>
      <c r="K165" s="35"/>
      <c r="L165" s="35"/>
      <c r="M165" s="35"/>
      <c r="N165" s="4"/>
      <c r="O165" s="4"/>
      <c r="P165" s="50"/>
      <c r="Q165" s="50"/>
      <c r="R165" s="50"/>
      <c r="S165" s="51"/>
      <c r="T165" s="4"/>
      <c r="U165" s="4"/>
    </row>
    <row r="166" ht="18.0" customHeight="1">
      <c r="A166" s="35"/>
      <c r="B166" s="37" t="s">
        <v>21</v>
      </c>
      <c r="C166" s="38">
        <v>44658.0</v>
      </c>
      <c r="D166" s="37">
        <v>54.0</v>
      </c>
      <c r="E166" s="37">
        <v>427.0</v>
      </c>
      <c r="F166" s="37">
        <v>174.82</v>
      </c>
      <c r="G166" s="39">
        <v>5488.16</v>
      </c>
      <c r="H166" s="37" t="s">
        <v>278</v>
      </c>
      <c r="I166" s="52" t="s">
        <v>50</v>
      </c>
      <c r="J166" s="37" t="str">
        <f t="shared" si="4"/>
        <v>No</v>
      </c>
      <c r="K166" s="35"/>
      <c r="L166" s="35"/>
      <c r="M166" s="35"/>
      <c r="N166" s="4"/>
      <c r="O166" s="4"/>
      <c r="P166" s="50"/>
      <c r="Q166" s="50"/>
      <c r="R166" s="50"/>
      <c r="S166" s="51"/>
      <c r="T166" s="4"/>
      <c r="U166" s="4"/>
    </row>
    <row r="167" ht="18.0" customHeight="1">
      <c r="A167" s="35"/>
      <c r="B167" s="37" t="s">
        <v>279</v>
      </c>
      <c r="C167" s="38">
        <v>44807.0</v>
      </c>
      <c r="D167" s="37">
        <v>85.0</v>
      </c>
      <c r="E167" s="37">
        <v>903.0</v>
      </c>
      <c r="F167" s="37">
        <v>148.69</v>
      </c>
      <c r="G167" s="39">
        <v>918.72</v>
      </c>
      <c r="H167" s="37" t="s">
        <v>49</v>
      </c>
      <c r="I167" s="52" t="s">
        <v>50</v>
      </c>
      <c r="J167" s="37" t="str">
        <f t="shared" si="4"/>
        <v>No</v>
      </c>
      <c r="K167" s="35"/>
      <c r="L167" s="35"/>
      <c r="M167" s="35"/>
      <c r="N167" s="4"/>
      <c r="O167" s="4"/>
      <c r="P167" s="50"/>
      <c r="Q167" s="50"/>
      <c r="R167" s="50"/>
      <c r="S167" s="51"/>
      <c r="T167" s="4"/>
      <c r="U167" s="4"/>
    </row>
    <row r="168" ht="18.0" customHeight="1">
      <c r="A168" s="35"/>
      <c r="B168" s="37" t="s">
        <v>280</v>
      </c>
      <c r="C168" s="38">
        <v>44834.0</v>
      </c>
      <c r="D168" s="37">
        <v>66.0</v>
      </c>
      <c r="E168" s="37">
        <v>362.0</v>
      </c>
      <c r="F168" s="37">
        <v>85.66</v>
      </c>
      <c r="G168" s="39">
        <v>1310.11</v>
      </c>
      <c r="H168" s="37" t="s">
        <v>53</v>
      </c>
      <c r="I168" s="52" t="s">
        <v>50</v>
      </c>
      <c r="J168" s="37" t="str">
        <f t="shared" si="4"/>
        <v>No</v>
      </c>
      <c r="K168" s="35"/>
      <c r="L168" s="35"/>
      <c r="M168" s="35"/>
      <c r="N168" s="4"/>
      <c r="O168" s="4"/>
      <c r="P168" s="50"/>
      <c r="Q168" s="50"/>
      <c r="R168" s="50"/>
      <c r="S168" s="51"/>
      <c r="T168" s="4"/>
      <c r="U168" s="4"/>
    </row>
    <row r="169" ht="18.0" customHeight="1">
      <c r="A169" s="35"/>
      <c r="B169" s="37" t="s">
        <v>281</v>
      </c>
      <c r="C169" s="38">
        <v>44736.0</v>
      </c>
      <c r="D169" s="37">
        <v>23.0</v>
      </c>
      <c r="E169" s="37">
        <v>74.0</v>
      </c>
      <c r="F169" s="37">
        <v>146.31</v>
      </c>
      <c r="G169" s="39">
        <v>7458.78</v>
      </c>
      <c r="H169" s="37" t="s">
        <v>56</v>
      </c>
      <c r="I169" s="52" t="s">
        <v>50</v>
      </c>
      <c r="J169" s="37" t="str">
        <f t="shared" si="4"/>
        <v>No</v>
      </c>
      <c r="K169" s="35"/>
      <c r="L169" s="35"/>
      <c r="M169" s="35"/>
      <c r="N169" s="4"/>
      <c r="O169" s="4"/>
      <c r="P169" s="50"/>
      <c r="Q169" s="50"/>
      <c r="R169" s="50"/>
      <c r="S169" s="51"/>
      <c r="T169" s="4"/>
      <c r="U169" s="4"/>
    </row>
    <row r="170" ht="18.0" customHeight="1">
      <c r="A170" s="35"/>
      <c r="B170" s="37" t="s">
        <v>282</v>
      </c>
      <c r="C170" s="38">
        <v>44860.0</v>
      </c>
      <c r="D170" s="37">
        <v>6.0</v>
      </c>
      <c r="E170" s="37">
        <v>954.0</v>
      </c>
      <c r="F170" s="37">
        <v>3.52</v>
      </c>
      <c r="G170" s="39">
        <v>2655.01</v>
      </c>
      <c r="H170" s="37" t="s">
        <v>59</v>
      </c>
      <c r="I170" s="52" t="s">
        <v>50</v>
      </c>
      <c r="J170" s="37" t="str">
        <f t="shared" si="4"/>
        <v>No</v>
      </c>
      <c r="K170" s="35"/>
      <c r="L170" s="35"/>
      <c r="M170" s="35"/>
      <c r="N170" s="4"/>
      <c r="O170" s="4"/>
      <c r="P170" s="50"/>
      <c r="Q170" s="50"/>
      <c r="R170" s="50"/>
      <c r="S170" s="51"/>
      <c r="T170" s="4"/>
      <c r="U170" s="4"/>
    </row>
    <row r="171" ht="18.0" customHeight="1">
      <c r="A171" s="35"/>
      <c r="B171" s="37" t="s">
        <v>283</v>
      </c>
      <c r="C171" s="38">
        <v>44717.0</v>
      </c>
      <c r="D171" s="37">
        <v>27.0</v>
      </c>
      <c r="E171" s="37">
        <v>824.0</v>
      </c>
      <c r="F171" s="37">
        <v>39.53</v>
      </c>
      <c r="G171" s="39">
        <v>4227.53</v>
      </c>
      <c r="H171" s="37" t="s">
        <v>61</v>
      </c>
      <c r="I171" s="52" t="s">
        <v>50</v>
      </c>
      <c r="J171" s="37" t="str">
        <f t="shared" si="4"/>
        <v>No</v>
      </c>
      <c r="K171" s="35"/>
      <c r="L171" s="35"/>
      <c r="M171" s="35"/>
      <c r="N171" s="4"/>
      <c r="O171" s="4"/>
      <c r="P171" s="50"/>
      <c r="Q171" s="50"/>
      <c r="R171" s="50"/>
      <c r="S171" s="51"/>
      <c r="T171" s="4"/>
      <c r="U171" s="4"/>
    </row>
    <row r="172" ht="18.0" customHeight="1">
      <c r="A172" s="35"/>
      <c r="B172" s="37" t="s">
        <v>284</v>
      </c>
      <c r="C172" s="38">
        <v>44686.0</v>
      </c>
      <c r="D172" s="37">
        <v>34.0</v>
      </c>
      <c r="E172" s="37">
        <v>420.0</v>
      </c>
      <c r="F172" s="37">
        <v>238.39</v>
      </c>
      <c r="G172" s="39">
        <v>3429.84</v>
      </c>
      <c r="H172" s="37" t="s">
        <v>285</v>
      </c>
      <c r="I172" s="52" t="s">
        <v>42</v>
      </c>
      <c r="J172" s="37" t="str">
        <f t="shared" si="4"/>
        <v>No</v>
      </c>
      <c r="K172" s="35"/>
      <c r="L172" s="35"/>
      <c r="M172" s="35"/>
      <c r="N172" s="4"/>
      <c r="O172" s="4"/>
      <c r="P172" s="50"/>
      <c r="Q172" s="50"/>
      <c r="R172" s="50"/>
      <c r="S172" s="51"/>
      <c r="T172" s="4"/>
      <c r="U172" s="4"/>
    </row>
    <row r="173" ht="18.0" customHeight="1">
      <c r="A173" s="35"/>
      <c r="B173" s="37" t="s">
        <v>286</v>
      </c>
      <c r="C173" s="38">
        <v>44744.0</v>
      </c>
      <c r="D173" s="37">
        <v>75.0</v>
      </c>
      <c r="E173" s="37">
        <v>784.0</v>
      </c>
      <c r="F173" s="37">
        <v>28.98</v>
      </c>
      <c r="G173" s="39">
        <v>9523.59</v>
      </c>
      <c r="H173" s="37" t="s">
        <v>287</v>
      </c>
      <c r="I173" s="52" t="s">
        <v>50</v>
      </c>
      <c r="J173" s="37" t="str">
        <f t="shared" si="4"/>
        <v>No</v>
      </c>
      <c r="K173" s="35"/>
      <c r="L173" s="35"/>
      <c r="M173" s="35"/>
      <c r="N173" s="4"/>
      <c r="O173" s="4"/>
      <c r="P173" s="50"/>
      <c r="Q173" s="50"/>
      <c r="R173" s="50"/>
      <c r="S173" s="51"/>
      <c r="T173" s="4"/>
      <c r="U173" s="4"/>
    </row>
    <row r="174" ht="18.0" customHeight="1">
      <c r="A174" s="35"/>
      <c r="B174" s="37" t="s">
        <v>288</v>
      </c>
      <c r="C174" s="38">
        <v>44775.0</v>
      </c>
      <c r="D174" s="37">
        <v>34.0</v>
      </c>
      <c r="E174" s="37">
        <v>858.0</v>
      </c>
      <c r="F174" s="37">
        <v>189.47</v>
      </c>
      <c r="G174" s="39">
        <v>7926.38</v>
      </c>
      <c r="H174" s="37" t="s">
        <v>289</v>
      </c>
      <c r="I174" s="52" t="s">
        <v>42</v>
      </c>
      <c r="J174" s="37" t="str">
        <f t="shared" si="4"/>
        <v>No</v>
      </c>
      <c r="K174" s="35"/>
      <c r="L174" s="35"/>
      <c r="M174" s="35"/>
      <c r="N174" s="4"/>
      <c r="O174" s="4"/>
      <c r="P174" s="50"/>
      <c r="Q174" s="50"/>
      <c r="R174" s="50"/>
      <c r="S174" s="51"/>
      <c r="T174" s="4"/>
      <c r="U174" s="4"/>
    </row>
    <row r="175" ht="18.0" customHeight="1">
      <c r="A175" s="35"/>
      <c r="B175" s="37" t="s">
        <v>290</v>
      </c>
      <c r="C175" s="38">
        <v>44897.0</v>
      </c>
      <c r="D175" s="37">
        <v>41.0</v>
      </c>
      <c r="E175" s="37">
        <v>75.0</v>
      </c>
      <c r="F175" s="37">
        <v>160.7</v>
      </c>
      <c r="G175" s="39">
        <v>2449.77</v>
      </c>
      <c r="H175" s="37" t="s">
        <v>87</v>
      </c>
      <c r="I175" s="52" t="s">
        <v>50</v>
      </c>
      <c r="J175" s="37" t="str">
        <f t="shared" si="4"/>
        <v>No</v>
      </c>
      <c r="K175" s="35"/>
      <c r="L175" s="35"/>
      <c r="M175" s="35"/>
      <c r="N175" s="4"/>
      <c r="O175" s="4"/>
      <c r="P175" s="50"/>
      <c r="Q175" s="50"/>
      <c r="R175" s="50"/>
      <c r="S175" s="51"/>
      <c r="T175" s="4"/>
      <c r="U175" s="4"/>
    </row>
    <row r="176" ht="18.0" customHeight="1">
      <c r="A176" s="35"/>
      <c r="B176" s="37" t="s">
        <v>291</v>
      </c>
      <c r="C176" s="38">
        <v>44581.0</v>
      </c>
      <c r="D176" s="37">
        <v>91.0</v>
      </c>
      <c r="E176" s="37">
        <v>291.0</v>
      </c>
      <c r="F176" s="37">
        <v>150.01</v>
      </c>
      <c r="G176" s="39">
        <v>6485.78</v>
      </c>
      <c r="H176" s="37" t="s">
        <v>37</v>
      </c>
      <c r="I176" s="52" t="s">
        <v>42</v>
      </c>
      <c r="J176" s="37" t="str">
        <f t="shared" si="4"/>
        <v>No</v>
      </c>
      <c r="K176" s="35"/>
      <c r="L176" s="35"/>
      <c r="M176" s="35"/>
      <c r="N176" s="4"/>
      <c r="O176" s="4"/>
      <c r="P176" s="50"/>
      <c r="Q176" s="50"/>
      <c r="R176" s="50"/>
      <c r="S176" s="51"/>
      <c r="T176" s="4"/>
      <c r="U176" s="4"/>
    </row>
    <row r="177" ht="18.0" customHeight="1">
      <c r="A177" s="35"/>
      <c r="B177" s="37" t="s">
        <v>292</v>
      </c>
      <c r="C177" s="38">
        <v>44631.0</v>
      </c>
      <c r="D177" s="37">
        <v>53.0</v>
      </c>
      <c r="E177" s="37">
        <v>671.0</v>
      </c>
      <c r="F177" s="37">
        <v>99.19</v>
      </c>
      <c r="G177" s="39">
        <v>9092.54</v>
      </c>
      <c r="H177" s="37" t="s">
        <v>293</v>
      </c>
      <c r="I177" s="52" t="s">
        <v>50</v>
      </c>
      <c r="J177" s="37" t="str">
        <f t="shared" si="4"/>
        <v>No</v>
      </c>
      <c r="K177" s="35"/>
      <c r="L177" s="35"/>
      <c r="M177" s="35"/>
      <c r="N177" s="4"/>
      <c r="O177" s="4"/>
      <c r="P177" s="50"/>
      <c r="Q177" s="50"/>
      <c r="R177" s="50"/>
      <c r="S177" s="51"/>
      <c r="T177" s="4"/>
      <c r="U177" s="4"/>
    </row>
    <row r="178" ht="18.0" customHeight="1">
      <c r="A178" s="35"/>
      <c r="B178" s="37" t="s">
        <v>24</v>
      </c>
      <c r="C178" s="38">
        <v>44765.0</v>
      </c>
      <c r="D178" s="37">
        <v>60.0</v>
      </c>
      <c r="E178" s="37">
        <v>471.0</v>
      </c>
      <c r="F178" s="37">
        <v>233.72</v>
      </c>
      <c r="G178" s="39">
        <v>1430.24</v>
      </c>
      <c r="H178" s="37" t="s">
        <v>294</v>
      </c>
      <c r="I178" s="52" t="s">
        <v>38</v>
      </c>
      <c r="J178" s="37" t="str">
        <f t="shared" si="4"/>
        <v>No</v>
      </c>
      <c r="K178" s="35"/>
      <c r="L178" s="35"/>
      <c r="M178" s="35"/>
      <c r="N178" s="4"/>
      <c r="O178" s="4"/>
      <c r="P178" s="50"/>
      <c r="Q178" s="50"/>
      <c r="R178" s="50"/>
      <c r="S178" s="51"/>
      <c r="T178" s="4"/>
      <c r="U178" s="4"/>
    </row>
    <row r="179" ht="18.0" customHeight="1">
      <c r="A179" s="35"/>
      <c r="B179" s="37" t="s">
        <v>295</v>
      </c>
      <c r="C179" s="38">
        <v>44747.0</v>
      </c>
      <c r="D179" s="37">
        <v>53.0</v>
      </c>
      <c r="E179" s="37">
        <v>906.0</v>
      </c>
      <c r="F179" s="37">
        <v>150.09</v>
      </c>
      <c r="G179" s="39">
        <v>9712.4</v>
      </c>
      <c r="H179" s="37" t="s">
        <v>296</v>
      </c>
      <c r="I179" s="52" t="s">
        <v>42</v>
      </c>
      <c r="J179" s="37" t="str">
        <f t="shared" si="4"/>
        <v>No</v>
      </c>
      <c r="K179" s="35"/>
      <c r="L179" s="35"/>
      <c r="M179" s="35"/>
      <c r="N179" s="4"/>
      <c r="O179" s="4"/>
      <c r="P179" s="50"/>
      <c r="Q179" s="50"/>
      <c r="R179" s="50"/>
      <c r="S179" s="51"/>
      <c r="T179" s="4"/>
      <c r="U179" s="4"/>
    </row>
    <row r="180" ht="18.0" customHeight="1">
      <c r="A180" s="35"/>
      <c r="B180" s="37" t="s">
        <v>297</v>
      </c>
      <c r="C180" s="38">
        <v>44655.0</v>
      </c>
      <c r="D180" s="37">
        <v>18.0</v>
      </c>
      <c r="E180" s="37">
        <v>301.0</v>
      </c>
      <c r="F180" s="37">
        <v>121.0</v>
      </c>
      <c r="G180" s="39">
        <v>8850.61</v>
      </c>
      <c r="H180" s="37" t="s">
        <v>298</v>
      </c>
      <c r="I180" s="52" t="s">
        <v>38</v>
      </c>
      <c r="J180" s="37" t="str">
        <f t="shared" si="4"/>
        <v>No</v>
      </c>
      <c r="K180" s="35"/>
      <c r="L180" s="35"/>
      <c r="M180" s="35"/>
      <c r="N180" s="4"/>
      <c r="O180" s="4"/>
      <c r="P180" s="50"/>
      <c r="Q180" s="50"/>
      <c r="R180" s="50"/>
      <c r="S180" s="51"/>
      <c r="T180" s="4"/>
      <c r="U180" s="4"/>
    </row>
    <row r="181" ht="18.0" customHeight="1">
      <c r="A181" s="35"/>
      <c r="B181" s="37" t="s">
        <v>299</v>
      </c>
      <c r="C181" s="38">
        <v>44729.0</v>
      </c>
      <c r="D181" s="37">
        <v>84.0</v>
      </c>
      <c r="E181" s="37">
        <v>241.0</v>
      </c>
      <c r="F181" s="37">
        <v>74.44</v>
      </c>
      <c r="G181" s="39">
        <v>3280.87</v>
      </c>
      <c r="H181" s="37" t="s">
        <v>87</v>
      </c>
      <c r="I181" s="52" t="s">
        <v>38</v>
      </c>
      <c r="J181" s="37" t="str">
        <f t="shared" si="4"/>
        <v>No</v>
      </c>
      <c r="K181" s="35"/>
      <c r="L181" s="35"/>
      <c r="M181" s="35"/>
      <c r="N181" s="4"/>
      <c r="O181" s="4"/>
      <c r="P181" s="50"/>
      <c r="Q181" s="50"/>
      <c r="R181" s="50"/>
      <c r="S181" s="51"/>
      <c r="T181" s="4"/>
      <c r="U181" s="4"/>
    </row>
    <row r="182" ht="18.0" customHeight="1">
      <c r="A182" s="35"/>
      <c r="B182" s="37" t="s">
        <v>25</v>
      </c>
      <c r="C182" s="38">
        <v>44911.0</v>
      </c>
      <c r="D182" s="37">
        <v>11.0</v>
      </c>
      <c r="E182" s="37">
        <v>768.0</v>
      </c>
      <c r="F182" s="37">
        <v>246.44</v>
      </c>
      <c r="G182" s="39">
        <v>5789.53</v>
      </c>
      <c r="H182" s="37" t="s">
        <v>37</v>
      </c>
      <c r="I182" s="52" t="s">
        <v>38</v>
      </c>
      <c r="J182" s="37" t="str">
        <f t="shared" si="4"/>
        <v>No</v>
      </c>
      <c r="K182" s="35"/>
      <c r="L182" s="35"/>
      <c r="M182" s="35"/>
      <c r="N182" s="4"/>
      <c r="O182" s="4"/>
      <c r="P182" s="50"/>
      <c r="Q182" s="50"/>
      <c r="R182" s="50"/>
      <c r="S182" s="51"/>
      <c r="T182" s="4"/>
      <c r="U182" s="4"/>
    </row>
    <row r="183" ht="18.0" customHeight="1">
      <c r="A183" s="35"/>
      <c r="B183" s="37" t="s">
        <v>300</v>
      </c>
      <c r="C183" s="38">
        <v>44797.0</v>
      </c>
      <c r="D183" s="37">
        <v>89.0</v>
      </c>
      <c r="E183" s="37">
        <v>973.0</v>
      </c>
      <c r="F183" s="37">
        <v>206.39</v>
      </c>
      <c r="G183" s="39">
        <v>5736.51</v>
      </c>
      <c r="H183" s="37" t="s">
        <v>41</v>
      </c>
      <c r="I183" s="52" t="s">
        <v>38</v>
      </c>
      <c r="J183" s="37" t="str">
        <f t="shared" si="4"/>
        <v>No</v>
      </c>
      <c r="K183" s="35"/>
      <c r="L183" s="35"/>
      <c r="M183" s="35"/>
      <c r="N183" s="4"/>
      <c r="O183" s="4"/>
      <c r="P183" s="50"/>
      <c r="Q183" s="50"/>
      <c r="R183" s="50"/>
      <c r="S183" s="51"/>
      <c r="T183" s="4"/>
      <c r="U183" s="4"/>
    </row>
    <row r="184" ht="18.0" customHeight="1">
      <c r="A184" s="35"/>
      <c r="B184" s="37" t="s">
        <v>301</v>
      </c>
      <c r="C184" s="38">
        <v>44703.0</v>
      </c>
      <c r="D184" s="37">
        <v>71.0</v>
      </c>
      <c r="E184" s="37">
        <v>214.0</v>
      </c>
      <c r="F184" s="37">
        <v>223.98</v>
      </c>
      <c r="G184" s="39">
        <v>9068.36</v>
      </c>
      <c r="H184" s="37" t="s">
        <v>45</v>
      </c>
      <c r="I184" s="52" t="s">
        <v>38</v>
      </c>
      <c r="J184" s="37" t="str">
        <f t="shared" si="4"/>
        <v>No</v>
      </c>
      <c r="K184" s="35"/>
      <c r="L184" s="35"/>
      <c r="M184" s="35"/>
      <c r="N184" s="4"/>
      <c r="O184" s="4"/>
      <c r="P184" s="50"/>
      <c r="Q184" s="50"/>
      <c r="R184" s="50"/>
      <c r="S184" s="51"/>
      <c r="T184" s="4"/>
      <c r="U184" s="4"/>
    </row>
    <row r="185" ht="18.0" customHeight="1">
      <c r="A185" s="35"/>
      <c r="B185" s="37" t="s">
        <v>36</v>
      </c>
      <c r="C185" s="38">
        <v>44666.0</v>
      </c>
      <c r="D185" s="37">
        <v>93.0</v>
      </c>
      <c r="E185" s="37">
        <v>215.0</v>
      </c>
      <c r="F185" s="37">
        <v>118.39</v>
      </c>
      <c r="G185" s="39">
        <v>8153.95</v>
      </c>
      <c r="H185" s="37" t="s">
        <v>49</v>
      </c>
      <c r="I185" s="52" t="s">
        <v>38</v>
      </c>
      <c r="J185" s="37" t="str">
        <f t="shared" si="4"/>
        <v>No</v>
      </c>
      <c r="K185" s="35"/>
      <c r="L185" s="35"/>
      <c r="M185" s="35"/>
      <c r="N185" s="4"/>
      <c r="O185" s="4"/>
      <c r="P185" s="50"/>
      <c r="Q185" s="50"/>
      <c r="R185" s="50"/>
      <c r="S185" s="51"/>
      <c r="T185" s="4"/>
      <c r="U185" s="4"/>
    </row>
    <row r="186" ht="18.0" customHeight="1">
      <c r="A186" s="35"/>
      <c r="B186" s="37" t="s">
        <v>21</v>
      </c>
      <c r="C186" s="38">
        <v>44598.0</v>
      </c>
      <c r="D186" s="37">
        <v>93.0</v>
      </c>
      <c r="E186" s="37">
        <v>704.0</v>
      </c>
      <c r="F186" s="37">
        <v>44.58</v>
      </c>
      <c r="G186" s="39">
        <v>8648.41</v>
      </c>
      <c r="H186" s="37" t="s">
        <v>53</v>
      </c>
      <c r="I186" s="52" t="s">
        <v>50</v>
      </c>
      <c r="J186" s="37" t="str">
        <f t="shared" si="4"/>
        <v>No</v>
      </c>
      <c r="K186" s="35"/>
      <c r="L186" s="35"/>
      <c r="M186" s="35"/>
      <c r="N186" s="4"/>
      <c r="O186" s="4"/>
      <c r="P186" s="50"/>
      <c r="Q186" s="50"/>
      <c r="R186" s="50"/>
      <c r="S186" s="51"/>
      <c r="T186" s="4"/>
      <c r="U186" s="4"/>
    </row>
    <row r="187" ht="18.0" customHeight="1">
      <c r="A187" s="35"/>
      <c r="B187" s="37" t="s">
        <v>302</v>
      </c>
      <c r="C187" s="38">
        <v>44793.0</v>
      </c>
      <c r="D187" s="37">
        <v>77.0</v>
      </c>
      <c r="E187" s="37">
        <v>723.0</v>
      </c>
      <c r="F187" s="37">
        <v>108.8</v>
      </c>
      <c r="G187" s="39">
        <v>66.19</v>
      </c>
      <c r="H187" s="37" t="s">
        <v>56</v>
      </c>
      <c r="I187" s="52" t="s">
        <v>38</v>
      </c>
      <c r="J187" s="37" t="str">
        <f t="shared" si="4"/>
        <v>No</v>
      </c>
      <c r="K187" s="35"/>
      <c r="L187" s="35"/>
      <c r="M187" s="35"/>
      <c r="N187" s="4"/>
      <c r="O187" s="4"/>
      <c r="P187" s="50"/>
      <c r="Q187" s="50"/>
      <c r="R187" s="50"/>
      <c r="S187" s="51"/>
      <c r="T187" s="4"/>
      <c r="U187" s="4"/>
    </row>
    <row r="188" ht="18.0" customHeight="1">
      <c r="A188" s="35"/>
      <c r="B188" s="37" t="s">
        <v>303</v>
      </c>
      <c r="C188" s="38">
        <v>44656.0</v>
      </c>
      <c r="D188" s="37">
        <v>92.0</v>
      </c>
      <c r="E188" s="37">
        <v>466.0</v>
      </c>
      <c r="F188" s="37">
        <v>218.62</v>
      </c>
      <c r="G188" s="39">
        <v>150.07</v>
      </c>
      <c r="H188" s="37" t="s">
        <v>59</v>
      </c>
      <c r="I188" s="52" t="s">
        <v>38</v>
      </c>
      <c r="J188" s="37" t="str">
        <f t="shared" si="4"/>
        <v>Yes</v>
      </c>
      <c r="K188" s="35"/>
      <c r="L188" s="35"/>
      <c r="M188" s="35"/>
      <c r="N188" s="4"/>
      <c r="O188" s="4"/>
      <c r="P188" s="50"/>
      <c r="Q188" s="50"/>
      <c r="R188" s="50"/>
      <c r="S188" s="51"/>
      <c r="T188" s="4"/>
      <c r="U188" s="4"/>
    </row>
    <row r="189" ht="18.0" customHeight="1">
      <c r="A189" s="35"/>
      <c r="B189" s="37" t="s">
        <v>304</v>
      </c>
      <c r="C189" s="38">
        <v>44744.0</v>
      </c>
      <c r="D189" s="37">
        <v>13.0</v>
      </c>
      <c r="E189" s="37">
        <v>711.0</v>
      </c>
      <c r="F189" s="37">
        <v>115.55</v>
      </c>
      <c r="G189" s="39">
        <v>2852.18</v>
      </c>
      <c r="H189" s="37" t="s">
        <v>61</v>
      </c>
      <c r="I189" s="52" t="s">
        <v>38</v>
      </c>
      <c r="J189" s="37" t="str">
        <f t="shared" si="4"/>
        <v>No</v>
      </c>
      <c r="K189" s="35"/>
      <c r="L189" s="35"/>
      <c r="M189" s="35"/>
      <c r="N189" s="4"/>
      <c r="O189" s="4"/>
      <c r="P189" s="50"/>
      <c r="Q189" s="50"/>
      <c r="R189" s="50"/>
      <c r="S189" s="51"/>
      <c r="T189" s="4"/>
      <c r="U189" s="4"/>
    </row>
    <row r="190" ht="18.0" customHeight="1">
      <c r="A190" s="35"/>
      <c r="B190" s="37" t="s">
        <v>40</v>
      </c>
      <c r="C190" s="38">
        <v>44688.0</v>
      </c>
      <c r="D190" s="37">
        <v>54.0</v>
      </c>
      <c r="E190" s="37">
        <v>875.0</v>
      </c>
      <c r="F190" s="37">
        <v>142.66</v>
      </c>
      <c r="G190" s="39">
        <v>3980.28</v>
      </c>
      <c r="H190" s="37" t="s">
        <v>63</v>
      </c>
      <c r="I190" s="52" t="s">
        <v>50</v>
      </c>
      <c r="J190" s="37" t="str">
        <f t="shared" si="4"/>
        <v>No</v>
      </c>
      <c r="K190" s="35"/>
      <c r="L190" s="35"/>
      <c r="M190" s="35"/>
      <c r="N190" s="4"/>
      <c r="O190" s="4"/>
      <c r="P190" s="50"/>
      <c r="Q190" s="50"/>
      <c r="R190" s="50"/>
      <c r="S190" s="51"/>
      <c r="T190" s="4"/>
      <c r="U190" s="4"/>
    </row>
    <row r="191" ht="18.0" customHeight="1">
      <c r="A191" s="35"/>
      <c r="B191" s="37" t="s">
        <v>305</v>
      </c>
      <c r="C191" s="38">
        <v>44872.0</v>
      </c>
      <c r="D191" s="37">
        <v>87.0</v>
      </c>
      <c r="E191" s="37">
        <v>192.0</v>
      </c>
      <c r="F191" s="37">
        <v>112.59</v>
      </c>
      <c r="G191" s="39">
        <v>3765.61</v>
      </c>
      <c r="H191" s="37" t="s">
        <v>66</v>
      </c>
      <c r="I191" s="52" t="s">
        <v>38</v>
      </c>
      <c r="J191" s="37" t="str">
        <f t="shared" si="4"/>
        <v>No</v>
      </c>
      <c r="K191" s="35"/>
      <c r="L191" s="35"/>
      <c r="M191" s="35"/>
      <c r="N191" s="4"/>
      <c r="O191" s="4"/>
      <c r="P191" s="50"/>
      <c r="Q191" s="50"/>
      <c r="R191" s="50"/>
      <c r="S191" s="51"/>
      <c r="T191" s="4"/>
      <c r="U191" s="4"/>
    </row>
    <row r="192" ht="18.0" customHeight="1">
      <c r="A192" s="35"/>
      <c r="B192" s="37" t="s">
        <v>306</v>
      </c>
      <c r="C192" s="38">
        <v>44844.0</v>
      </c>
      <c r="D192" s="37">
        <v>41.0</v>
      </c>
      <c r="E192" s="37">
        <v>156.0</v>
      </c>
      <c r="F192" s="37">
        <v>91.51</v>
      </c>
      <c r="G192" s="39">
        <v>2928.31</v>
      </c>
      <c r="H192" s="37" t="s">
        <v>68</v>
      </c>
      <c r="I192" s="52" t="s">
        <v>42</v>
      </c>
      <c r="J192" s="37" t="str">
        <f t="shared" si="4"/>
        <v>No</v>
      </c>
      <c r="K192" s="35"/>
      <c r="L192" s="35"/>
      <c r="M192" s="35"/>
      <c r="N192" s="4"/>
      <c r="O192" s="4"/>
      <c r="P192" s="50"/>
      <c r="Q192" s="50"/>
      <c r="R192" s="50"/>
      <c r="S192" s="51"/>
      <c r="T192" s="4"/>
      <c r="U192" s="4"/>
    </row>
    <row r="193" ht="18.0" customHeight="1">
      <c r="A193" s="35"/>
      <c r="B193" s="37" t="s">
        <v>307</v>
      </c>
      <c r="C193" s="38">
        <v>44650.0</v>
      </c>
      <c r="D193" s="37">
        <v>37.0</v>
      </c>
      <c r="E193" s="37">
        <v>775.0</v>
      </c>
      <c r="F193" s="37">
        <v>37.6</v>
      </c>
      <c r="G193" s="39">
        <v>6018.42</v>
      </c>
      <c r="H193" s="37" t="s">
        <v>71</v>
      </c>
      <c r="I193" s="52" t="s">
        <v>50</v>
      </c>
      <c r="J193" s="37" t="str">
        <f t="shared" si="4"/>
        <v>No</v>
      </c>
      <c r="K193" s="35"/>
      <c r="L193" s="35"/>
      <c r="M193" s="35"/>
      <c r="N193" s="4"/>
      <c r="O193" s="4"/>
      <c r="P193" s="50"/>
      <c r="Q193" s="50"/>
      <c r="R193" s="50"/>
      <c r="S193" s="51"/>
      <c r="T193" s="4"/>
      <c r="U193" s="4"/>
    </row>
    <row r="194" ht="18.0" customHeight="1">
      <c r="A194" s="35"/>
      <c r="B194" s="37" t="s">
        <v>308</v>
      </c>
      <c r="C194" s="38">
        <v>44620.0</v>
      </c>
      <c r="D194" s="37">
        <v>16.0</v>
      </c>
      <c r="E194" s="37">
        <v>523.0</v>
      </c>
      <c r="F194" s="37">
        <v>44.19</v>
      </c>
      <c r="G194" s="39">
        <v>2079.52</v>
      </c>
      <c r="H194" s="37" t="s">
        <v>309</v>
      </c>
      <c r="I194" s="52" t="s">
        <v>42</v>
      </c>
      <c r="J194" s="37" t="str">
        <f t="shared" si="4"/>
        <v>No</v>
      </c>
      <c r="K194" s="35"/>
      <c r="L194" s="35"/>
      <c r="M194" s="35"/>
      <c r="N194" s="4"/>
      <c r="O194" s="4"/>
      <c r="P194" s="50"/>
      <c r="Q194" s="50"/>
      <c r="R194" s="50"/>
      <c r="S194" s="51"/>
      <c r="T194" s="4"/>
      <c r="U194" s="4"/>
    </row>
    <row r="195" ht="18.0" customHeight="1">
      <c r="A195" s="35"/>
      <c r="B195" s="37" t="s">
        <v>17</v>
      </c>
      <c r="C195" s="38">
        <v>44874.0</v>
      </c>
      <c r="D195" s="37">
        <v>74.0</v>
      </c>
      <c r="E195" s="37">
        <v>412.0</v>
      </c>
      <c r="F195" s="37">
        <v>200.8</v>
      </c>
      <c r="G195" s="39">
        <v>1054.68</v>
      </c>
      <c r="H195" s="37" t="s">
        <v>310</v>
      </c>
      <c r="I195" s="52" t="s">
        <v>42</v>
      </c>
      <c r="J195" s="37" t="str">
        <f t="shared" si="4"/>
        <v>No</v>
      </c>
      <c r="K195" s="35"/>
      <c r="L195" s="35"/>
      <c r="M195" s="35"/>
      <c r="N195" s="4"/>
      <c r="O195" s="4"/>
      <c r="P195" s="50"/>
      <c r="Q195" s="50"/>
      <c r="R195" s="50"/>
      <c r="S195" s="51"/>
      <c r="T195" s="4"/>
      <c r="U195" s="4"/>
    </row>
    <row r="196" ht="18.0" customHeight="1">
      <c r="A196" s="35"/>
      <c r="B196" s="37" t="s">
        <v>311</v>
      </c>
      <c r="C196" s="38">
        <v>44621.0</v>
      </c>
      <c r="D196" s="37">
        <v>82.0</v>
      </c>
      <c r="E196" s="37">
        <v>90.0</v>
      </c>
      <c r="F196" s="37">
        <v>134.47</v>
      </c>
      <c r="G196" s="39">
        <v>5193.46</v>
      </c>
      <c r="H196" s="37" t="s">
        <v>312</v>
      </c>
      <c r="I196" s="52" t="s">
        <v>42</v>
      </c>
      <c r="J196" s="37" t="str">
        <f t="shared" si="4"/>
        <v>No</v>
      </c>
      <c r="K196" s="35"/>
      <c r="L196" s="35"/>
      <c r="M196" s="35"/>
      <c r="N196" s="4"/>
      <c r="O196" s="4"/>
      <c r="P196" s="50"/>
      <c r="Q196" s="50"/>
      <c r="R196" s="50"/>
      <c r="S196" s="51"/>
      <c r="T196" s="4"/>
      <c r="U196" s="4"/>
    </row>
    <row r="197" ht="18.0" customHeight="1">
      <c r="A197" s="35"/>
      <c r="B197" s="37" t="s">
        <v>27</v>
      </c>
      <c r="C197" s="38">
        <v>44590.0</v>
      </c>
      <c r="D197" s="37">
        <v>63.0</v>
      </c>
      <c r="E197" s="37">
        <v>967.0</v>
      </c>
      <c r="F197" s="37">
        <v>238.55</v>
      </c>
      <c r="G197" s="39">
        <v>6778.32</v>
      </c>
      <c r="H197" s="37" t="s">
        <v>313</v>
      </c>
      <c r="I197" s="52" t="s">
        <v>38</v>
      </c>
      <c r="J197" s="37" t="str">
        <f t="shared" si="4"/>
        <v>No</v>
      </c>
      <c r="K197" s="35"/>
      <c r="L197" s="35"/>
      <c r="M197" s="35"/>
      <c r="N197" s="4"/>
      <c r="O197" s="4"/>
      <c r="P197" s="50"/>
      <c r="Q197" s="50"/>
      <c r="R197" s="50"/>
      <c r="S197" s="51"/>
      <c r="T197" s="4"/>
      <c r="U197" s="4"/>
    </row>
    <row r="198" ht="18.0" customHeight="1">
      <c r="A198" s="35"/>
      <c r="B198" s="37" t="s">
        <v>28</v>
      </c>
      <c r="C198" s="38">
        <v>44620.0</v>
      </c>
      <c r="D198" s="37">
        <v>52.0</v>
      </c>
      <c r="E198" s="37">
        <v>756.0</v>
      </c>
      <c r="F198" s="37">
        <v>115.89</v>
      </c>
      <c r="G198" s="39">
        <v>9662.83</v>
      </c>
      <c r="H198" s="37" t="s">
        <v>314</v>
      </c>
      <c r="I198" s="52" t="s">
        <v>38</v>
      </c>
      <c r="J198" s="37" t="str">
        <f t="shared" si="4"/>
        <v>No</v>
      </c>
      <c r="K198" s="35"/>
      <c r="L198" s="35"/>
      <c r="M198" s="35"/>
      <c r="N198" s="4"/>
      <c r="O198" s="4"/>
      <c r="P198" s="50"/>
      <c r="Q198" s="50"/>
      <c r="R198" s="50"/>
      <c r="S198" s="51"/>
      <c r="T198" s="4"/>
      <c r="U198" s="4"/>
    </row>
    <row r="199" ht="18.0" customHeight="1">
      <c r="A199" s="35"/>
      <c r="B199" s="37" t="s">
        <v>35</v>
      </c>
      <c r="C199" s="38">
        <v>44894.0</v>
      </c>
      <c r="D199" s="37">
        <v>69.0</v>
      </c>
      <c r="E199" s="37">
        <v>331.0</v>
      </c>
      <c r="F199" s="37">
        <v>120.72</v>
      </c>
      <c r="G199" s="39">
        <v>478.56</v>
      </c>
      <c r="H199" s="37" t="s">
        <v>315</v>
      </c>
      <c r="I199" s="52" t="s">
        <v>50</v>
      </c>
      <c r="J199" s="37" t="str">
        <f t="shared" si="4"/>
        <v>No</v>
      </c>
      <c r="K199" s="35"/>
      <c r="L199" s="35"/>
      <c r="M199" s="35"/>
      <c r="N199" s="4"/>
      <c r="O199" s="4"/>
      <c r="P199" s="50"/>
      <c r="Q199" s="50"/>
      <c r="R199" s="50"/>
      <c r="S199" s="51"/>
      <c r="T199" s="4"/>
      <c r="U199" s="4"/>
    </row>
    <row r="200" ht="18.0" customHeight="1">
      <c r="A200" s="35"/>
      <c r="B200" s="37" t="s">
        <v>39</v>
      </c>
      <c r="C200" s="38">
        <v>44730.0</v>
      </c>
      <c r="D200" s="37">
        <v>22.0</v>
      </c>
      <c r="E200" s="37">
        <v>887.0</v>
      </c>
      <c r="F200" s="37">
        <v>249.05</v>
      </c>
      <c r="G200" s="39">
        <v>5119.77</v>
      </c>
      <c r="H200" s="37" t="s">
        <v>316</v>
      </c>
      <c r="I200" s="52" t="s">
        <v>50</v>
      </c>
      <c r="J200" s="37" t="str">
        <f t="shared" si="4"/>
        <v>No</v>
      </c>
      <c r="K200" s="35"/>
      <c r="L200" s="35"/>
      <c r="M200" s="35"/>
      <c r="N200" s="4"/>
      <c r="O200" s="4"/>
      <c r="P200" s="50"/>
      <c r="Q200" s="50"/>
      <c r="R200" s="50"/>
      <c r="S200" s="51"/>
      <c r="T200" s="4"/>
      <c r="U200" s="4"/>
    </row>
    <row r="201" ht="18.0" customHeight="1">
      <c r="A201" s="35"/>
      <c r="B201" s="37" t="s">
        <v>44</v>
      </c>
      <c r="C201" s="38">
        <v>44886.0</v>
      </c>
      <c r="D201" s="37">
        <v>11.0</v>
      </c>
      <c r="E201" s="37">
        <v>945.0</v>
      </c>
      <c r="F201" s="37">
        <v>208.97</v>
      </c>
      <c r="G201" s="39">
        <v>7696.86</v>
      </c>
      <c r="H201" s="37" t="s">
        <v>317</v>
      </c>
      <c r="I201" s="52" t="s">
        <v>38</v>
      </c>
      <c r="J201" s="37" t="str">
        <f t="shared" si="4"/>
        <v>No</v>
      </c>
      <c r="K201" s="35"/>
      <c r="L201" s="35"/>
      <c r="M201" s="35"/>
      <c r="N201" s="4"/>
      <c r="O201" s="4"/>
      <c r="P201" s="50"/>
      <c r="Q201" s="50"/>
      <c r="R201" s="50"/>
      <c r="S201" s="51"/>
      <c r="T201" s="4"/>
      <c r="U201" s="4"/>
    </row>
    <row r="202" ht="18.0" customHeight="1">
      <c r="A202" s="35"/>
      <c r="B202" s="37" t="s">
        <v>48</v>
      </c>
      <c r="C202" s="38">
        <v>44840.0</v>
      </c>
      <c r="D202" s="37">
        <v>77.0</v>
      </c>
      <c r="E202" s="37">
        <v>847.0</v>
      </c>
      <c r="F202" s="37">
        <v>163.51</v>
      </c>
      <c r="G202" s="39">
        <v>1383.68</v>
      </c>
      <c r="H202" s="37" t="s">
        <v>318</v>
      </c>
      <c r="I202" s="52" t="s">
        <v>38</v>
      </c>
      <c r="J202" s="37" t="str">
        <f t="shared" si="4"/>
        <v>No</v>
      </c>
      <c r="K202" s="35"/>
      <c r="L202" s="35"/>
      <c r="M202" s="35"/>
      <c r="N202" s="4"/>
      <c r="O202" s="4"/>
      <c r="P202" s="50"/>
      <c r="Q202" s="50"/>
      <c r="R202" s="50"/>
      <c r="S202" s="51"/>
      <c r="T202" s="4"/>
      <c r="U202" s="4"/>
    </row>
    <row r="203" ht="18.0" customHeight="1">
      <c r="A203" s="35"/>
      <c r="B203" s="37" t="s">
        <v>51</v>
      </c>
      <c r="C203" s="38">
        <v>44718.0</v>
      </c>
      <c r="D203" s="37">
        <v>35.0</v>
      </c>
      <c r="E203" s="37">
        <v>794.0</v>
      </c>
      <c r="F203" s="37">
        <v>118.62</v>
      </c>
      <c r="G203" s="39">
        <v>5764.68</v>
      </c>
      <c r="H203" s="37" t="s">
        <v>319</v>
      </c>
      <c r="I203" s="52" t="s">
        <v>38</v>
      </c>
      <c r="J203" s="37" t="str">
        <f t="shared" si="4"/>
        <v>No</v>
      </c>
      <c r="K203" s="35"/>
      <c r="L203" s="35"/>
      <c r="M203" s="35"/>
      <c r="N203" s="4"/>
      <c r="O203" s="4"/>
      <c r="P203" s="50"/>
      <c r="Q203" s="50"/>
      <c r="R203" s="50"/>
      <c r="S203" s="51"/>
      <c r="T203" s="4"/>
      <c r="U203" s="4"/>
    </row>
    <row r="204" ht="18.0" customHeight="1">
      <c r="A204" s="35"/>
      <c r="B204" s="37" t="s">
        <v>54</v>
      </c>
      <c r="C204" s="38">
        <v>44636.0</v>
      </c>
      <c r="D204" s="37">
        <v>96.0</v>
      </c>
      <c r="E204" s="37">
        <v>313.0</v>
      </c>
      <c r="F204" s="37">
        <v>7.9</v>
      </c>
      <c r="G204" s="39">
        <v>6018.64</v>
      </c>
      <c r="H204" s="37" t="s">
        <v>320</v>
      </c>
      <c r="I204" s="52" t="s">
        <v>50</v>
      </c>
      <c r="J204" s="37" t="str">
        <f t="shared" si="4"/>
        <v>No</v>
      </c>
      <c r="K204" s="35"/>
      <c r="L204" s="35"/>
      <c r="M204" s="35"/>
      <c r="N204" s="4"/>
      <c r="O204" s="4"/>
      <c r="P204" s="50"/>
      <c r="Q204" s="50"/>
      <c r="R204" s="50"/>
      <c r="S204" s="51"/>
      <c r="T204" s="4"/>
      <c r="U204" s="4"/>
    </row>
    <row r="205" ht="18.0" customHeight="1">
      <c r="A205" s="35"/>
      <c r="B205" s="37" t="s">
        <v>57</v>
      </c>
      <c r="C205" s="38">
        <v>44732.0</v>
      </c>
      <c r="D205" s="37">
        <v>6.0</v>
      </c>
      <c r="E205" s="37">
        <v>872.0</v>
      </c>
      <c r="F205" s="37">
        <v>138.67</v>
      </c>
      <c r="G205" s="39">
        <v>4531.51</v>
      </c>
      <c r="H205" s="37" t="s">
        <v>321</v>
      </c>
      <c r="I205" s="52" t="s">
        <v>50</v>
      </c>
      <c r="J205" s="37" t="str">
        <f t="shared" si="4"/>
        <v>No</v>
      </c>
      <c r="K205" s="35"/>
      <c r="L205" s="35"/>
      <c r="M205" s="35"/>
      <c r="N205" s="4"/>
      <c r="O205" s="4"/>
      <c r="P205" s="50"/>
      <c r="Q205" s="50"/>
      <c r="R205" s="50"/>
      <c r="S205" s="51"/>
      <c r="T205" s="4"/>
      <c r="U205" s="4"/>
    </row>
    <row r="206" ht="18.0" customHeight="1">
      <c r="A206" s="35"/>
      <c r="B206" s="37" t="s">
        <v>60</v>
      </c>
      <c r="C206" s="38">
        <v>44583.0</v>
      </c>
      <c r="D206" s="37">
        <v>17.0</v>
      </c>
      <c r="E206" s="37">
        <v>416.0</v>
      </c>
      <c r="F206" s="37">
        <v>115.78</v>
      </c>
      <c r="G206" s="39">
        <v>1559.65</v>
      </c>
      <c r="H206" s="37" t="s">
        <v>322</v>
      </c>
      <c r="I206" s="52" t="s">
        <v>42</v>
      </c>
      <c r="J206" s="37" t="str">
        <f t="shared" si="4"/>
        <v>No</v>
      </c>
      <c r="K206" s="35"/>
      <c r="L206" s="35"/>
      <c r="M206" s="35"/>
      <c r="N206" s="4"/>
      <c r="O206" s="4"/>
      <c r="P206" s="50"/>
      <c r="Q206" s="50"/>
      <c r="R206" s="50"/>
      <c r="S206" s="51"/>
      <c r="T206" s="4"/>
      <c r="U206" s="4"/>
    </row>
    <row r="207" ht="18.0" customHeight="1">
      <c r="A207" s="35"/>
      <c r="B207" s="37" t="s">
        <v>21</v>
      </c>
      <c r="C207" s="38">
        <v>44744.0</v>
      </c>
      <c r="D207" s="37">
        <v>95.0</v>
      </c>
      <c r="E207" s="37">
        <v>805.0</v>
      </c>
      <c r="F207" s="37">
        <v>149.2</v>
      </c>
      <c r="G207" s="39">
        <v>9596.51</v>
      </c>
      <c r="H207" s="37" t="s">
        <v>323</v>
      </c>
      <c r="I207" s="52" t="s">
        <v>50</v>
      </c>
      <c r="J207" s="37" t="str">
        <f t="shared" si="4"/>
        <v>No</v>
      </c>
      <c r="K207" s="35"/>
      <c r="L207" s="35"/>
      <c r="M207" s="35"/>
      <c r="N207" s="4"/>
      <c r="O207" s="4"/>
      <c r="P207" s="50"/>
      <c r="Q207" s="50"/>
      <c r="R207" s="50"/>
      <c r="S207" s="51"/>
      <c r="T207" s="4"/>
      <c r="U207" s="4"/>
    </row>
    <row r="208" ht="18.0" customHeight="1">
      <c r="A208" s="35"/>
      <c r="B208" s="37" t="s">
        <v>324</v>
      </c>
      <c r="C208" s="38">
        <v>44641.0</v>
      </c>
      <c r="D208" s="37">
        <v>15.0</v>
      </c>
      <c r="E208" s="37">
        <v>936.0</v>
      </c>
      <c r="F208" s="37">
        <v>205.55</v>
      </c>
      <c r="G208" s="39">
        <v>2889.33</v>
      </c>
      <c r="H208" s="37" t="s">
        <v>325</v>
      </c>
      <c r="I208" s="52" t="s">
        <v>50</v>
      </c>
      <c r="J208" s="37" t="str">
        <f t="shared" si="4"/>
        <v>No</v>
      </c>
      <c r="K208" s="35"/>
      <c r="L208" s="35"/>
      <c r="M208" s="35"/>
      <c r="N208" s="4"/>
      <c r="O208" s="4"/>
      <c r="P208" s="50"/>
      <c r="Q208" s="50"/>
      <c r="R208" s="50"/>
      <c r="S208" s="51"/>
      <c r="T208" s="4"/>
      <c r="U208" s="4"/>
    </row>
    <row r="209" ht="18.0" customHeight="1">
      <c r="A209" s="35"/>
      <c r="B209" s="37" t="s">
        <v>326</v>
      </c>
      <c r="C209" s="38">
        <v>44908.0</v>
      </c>
      <c r="D209" s="37">
        <v>5.0</v>
      </c>
      <c r="E209" s="37">
        <v>45.0</v>
      </c>
      <c r="F209" s="37">
        <v>23.7</v>
      </c>
      <c r="G209" s="39">
        <v>5081.05</v>
      </c>
      <c r="H209" s="37" t="s">
        <v>327</v>
      </c>
      <c r="I209" s="52" t="s">
        <v>42</v>
      </c>
      <c r="J209" s="37" t="str">
        <f t="shared" si="4"/>
        <v>No</v>
      </c>
      <c r="K209" s="35"/>
      <c r="L209" s="35"/>
      <c r="M209" s="35"/>
      <c r="N209" s="4"/>
      <c r="O209" s="4"/>
      <c r="P209" s="50"/>
      <c r="Q209" s="50"/>
      <c r="R209" s="50"/>
      <c r="S209" s="51"/>
      <c r="T209" s="4"/>
      <c r="U209" s="4"/>
    </row>
    <row r="210" ht="18.0" customHeight="1">
      <c r="A210" s="35"/>
      <c r="B210" s="37" t="s">
        <v>328</v>
      </c>
      <c r="C210" s="38">
        <v>44775.0</v>
      </c>
      <c r="D210" s="37">
        <v>24.0</v>
      </c>
      <c r="E210" s="37">
        <v>937.0</v>
      </c>
      <c r="F210" s="37">
        <v>52.88</v>
      </c>
      <c r="G210" s="39">
        <v>4893.89</v>
      </c>
      <c r="H210" s="37" t="s">
        <v>329</v>
      </c>
      <c r="I210" s="52" t="s">
        <v>42</v>
      </c>
      <c r="J210" s="37" t="str">
        <f t="shared" si="4"/>
        <v>No</v>
      </c>
      <c r="K210" s="35"/>
      <c r="L210" s="35"/>
      <c r="M210" s="35"/>
      <c r="N210" s="4"/>
      <c r="O210" s="4"/>
      <c r="P210" s="50"/>
      <c r="Q210" s="50"/>
      <c r="R210" s="50"/>
      <c r="S210" s="51"/>
      <c r="T210" s="4"/>
      <c r="U210" s="4"/>
    </row>
    <row r="211" ht="18.0" customHeight="1">
      <c r="A211" s="35"/>
      <c r="B211" s="37" t="s">
        <v>330</v>
      </c>
      <c r="C211" s="38">
        <v>44699.0</v>
      </c>
      <c r="D211" s="37">
        <v>24.0</v>
      </c>
      <c r="E211" s="37">
        <v>835.0</v>
      </c>
      <c r="F211" s="37">
        <v>235.43</v>
      </c>
      <c r="G211" s="39">
        <v>219.8</v>
      </c>
      <c r="H211" s="37" t="s">
        <v>331</v>
      </c>
      <c r="I211" s="52" t="s">
        <v>42</v>
      </c>
      <c r="J211" s="37" t="str">
        <f t="shared" si="4"/>
        <v>No</v>
      </c>
      <c r="K211" s="35"/>
      <c r="L211" s="35"/>
      <c r="M211" s="35"/>
      <c r="N211" s="4"/>
      <c r="O211" s="4"/>
      <c r="P211" s="50"/>
      <c r="Q211" s="50"/>
      <c r="R211" s="50"/>
      <c r="S211" s="51"/>
      <c r="T211" s="4"/>
      <c r="U211" s="4"/>
    </row>
    <row r="212" ht="18.0" customHeight="1">
      <c r="A212" s="35"/>
      <c r="B212" s="37" t="s">
        <v>332</v>
      </c>
      <c r="C212" s="38">
        <v>44630.0</v>
      </c>
      <c r="D212" s="37">
        <v>8.0</v>
      </c>
      <c r="E212" s="37">
        <v>170.0</v>
      </c>
      <c r="F212" s="37">
        <v>104.38</v>
      </c>
      <c r="G212" s="39">
        <v>986.93</v>
      </c>
      <c r="H212" s="37" t="s">
        <v>333</v>
      </c>
      <c r="I212" s="52" t="s">
        <v>50</v>
      </c>
      <c r="J212" s="37" t="str">
        <f t="shared" si="4"/>
        <v>No</v>
      </c>
      <c r="K212" s="35"/>
      <c r="L212" s="35"/>
      <c r="M212" s="35"/>
      <c r="N212" s="4"/>
      <c r="O212" s="4"/>
      <c r="P212" s="50"/>
      <c r="Q212" s="50"/>
      <c r="R212" s="50"/>
      <c r="S212" s="51"/>
      <c r="T212" s="4"/>
      <c r="U212" s="4"/>
    </row>
    <row r="213" ht="18.0" customHeight="1">
      <c r="A213" s="35"/>
      <c r="B213" s="37" t="s">
        <v>334</v>
      </c>
      <c r="C213" s="38">
        <v>44654.0</v>
      </c>
      <c r="D213" s="37">
        <v>13.0</v>
      </c>
      <c r="E213" s="37">
        <v>944.0</v>
      </c>
      <c r="F213" s="37">
        <v>72.22</v>
      </c>
      <c r="G213" s="39">
        <v>7541.63</v>
      </c>
      <c r="H213" s="37" t="s">
        <v>87</v>
      </c>
      <c r="I213" s="52" t="s">
        <v>42</v>
      </c>
      <c r="J213" s="37" t="str">
        <f t="shared" si="4"/>
        <v>No</v>
      </c>
      <c r="K213" s="35"/>
      <c r="L213" s="35"/>
      <c r="M213" s="35"/>
      <c r="N213" s="4"/>
      <c r="O213" s="4"/>
      <c r="P213" s="50"/>
      <c r="Q213" s="50"/>
      <c r="R213" s="50"/>
      <c r="S213" s="51"/>
      <c r="T213" s="4"/>
      <c r="U213" s="4"/>
    </row>
    <row r="214" ht="18.0" customHeight="1">
      <c r="A214" s="35"/>
      <c r="B214" s="37" t="s">
        <v>17</v>
      </c>
      <c r="C214" s="38">
        <v>44663.0</v>
      </c>
      <c r="D214" s="37">
        <v>30.0</v>
      </c>
      <c r="E214" s="37">
        <v>93.0</v>
      </c>
      <c r="F214" s="37">
        <v>102.85</v>
      </c>
      <c r="G214" s="39">
        <v>578.38</v>
      </c>
      <c r="H214" s="37" t="s">
        <v>37</v>
      </c>
      <c r="I214" s="52" t="s">
        <v>38</v>
      </c>
      <c r="J214" s="37" t="str">
        <f t="shared" si="4"/>
        <v>No</v>
      </c>
      <c r="K214" s="35"/>
      <c r="L214" s="35"/>
      <c r="M214" s="35"/>
      <c r="N214" s="4"/>
      <c r="O214" s="4"/>
      <c r="P214" s="50"/>
      <c r="Q214" s="50"/>
      <c r="R214" s="50"/>
      <c r="S214" s="51"/>
      <c r="T214" s="4"/>
      <c r="U214" s="4"/>
    </row>
    <row r="215" ht="18.0" customHeight="1">
      <c r="A215" s="35"/>
      <c r="B215" s="37" t="s">
        <v>335</v>
      </c>
      <c r="C215" s="38">
        <v>44828.0</v>
      </c>
      <c r="D215" s="37">
        <v>91.0</v>
      </c>
      <c r="E215" s="37">
        <v>703.0</v>
      </c>
      <c r="F215" s="37">
        <v>76.04</v>
      </c>
      <c r="G215" s="39">
        <v>6321.86</v>
      </c>
      <c r="H215" s="37" t="s">
        <v>41</v>
      </c>
      <c r="I215" s="52" t="s">
        <v>42</v>
      </c>
      <c r="J215" s="37" t="str">
        <f t="shared" si="4"/>
        <v>Yes</v>
      </c>
      <c r="K215" s="35"/>
      <c r="L215" s="35"/>
      <c r="M215" s="35"/>
      <c r="N215" s="4"/>
      <c r="O215" s="4"/>
      <c r="P215" s="50"/>
      <c r="Q215" s="50"/>
      <c r="R215" s="50"/>
      <c r="S215" s="51"/>
      <c r="T215" s="4"/>
      <c r="U215" s="4"/>
    </row>
    <row r="216" ht="18.0" customHeight="1">
      <c r="A216" s="35"/>
      <c r="B216" s="37" t="s">
        <v>336</v>
      </c>
      <c r="C216" s="38">
        <v>44824.0</v>
      </c>
      <c r="D216" s="37">
        <v>65.0</v>
      </c>
      <c r="E216" s="37">
        <v>758.0</v>
      </c>
      <c r="F216" s="37">
        <v>21.91</v>
      </c>
      <c r="G216" s="39">
        <v>4585.39</v>
      </c>
      <c r="H216" s="37" t="s">
        <v>45</v>
      </c>
      <c r="I216" s="52" t="s">
        <v>50</v>
      </c>
      <c r="J216" s="37" t="str">
        <f t="shared" si="4"/>
        <v>No</v>
      </c>
      <c r="K216" s="35"/>
      <c r="L216" s="35"/>
      <c r="M216" s="35"/>
      <c r="N216" s="4"/>
      <c r="O216" s="4"/>
      <c r="P216" s="50"/>
      <c r="Q216" s="50"/>
      <c r="R216" s="50"/>
      <c r="S216" s="51"/>
      <c r="T216" s="4"/>
      <c r="U216" s="4"/>
    </row>
    <row r="217" ht="18.0" customHeight="1">
      <c r="A217" s="35"/>
      <c r="B217" s="37" t="s">
        <v>337</v>
      </c>
      <c r="C217" s="38">
        <v>44808.0</v>
      </c>
      <c r="D217" s="37">
        <v>84.0</v>
      </c>
      <c r="E217" s="37">
        <v>932.0</v>
      </c>
      <c r="F217" s="37">
        <v>204.23</v>
      </c>
      <c r="G217" s="39">
        <v>5826.71</v>
      </c>
      <c r="H217" s="37" t="s">
        <v>49</v>
      </c>
      <c r="I217" s="52" t="s">
        <v>42</v>
      </c>
      <c r="J217" s="37" t="str">
        <f t="shared" si="4"/>
        <v>No</v>
      </c>
      <c r="K217" s="35"/>
      <c r="L217" s="35"/>
      <c r="M217" s="35"/>
      <c r="N217" s="4"/>
      <c r="O217" s="4"/>
      <c r="P217" s="50"/>
      <c r="Q217" s="50"/>
      <c r="R217" s="50"/>
      <c r="S217" s="51"/>
      <c r="T217" s="4"/>
      <c r="U217" s="4"/>
    </row>
    <row r="218" ht="18.0" customHeight="1">
      <c r="A218" s="35"/>
      <c r="B218" s="37" t="s">
        <v>338</v>
      </c>
      <c r="C218" s="38">
        <v>44658.0</v>
      </c>
      <c r="D218" s="37">
        <v>97.0</v>
      </c>
      <c r="E218" s="37">
        <v>816.0</v>
      </c>
      <c r="F218" s="37">
        <v>99.45</v>
      </c>
      <c r="G218" s="39">
        <v>7647.53</v>
      </c>
      <c r="H218" s="37" t="s">
        <v>53</v>
      </c>
      <c r="I218" s="52" t="s">
        <v>38</v>
      </c>
      <c r="J218" s="37" t="str">
        <f t="shared" si="4"/>
        <v>No</v>
      </c>
      <c r="K218" s="35"/>
      <c r="L218" s="35"/>
      <c r="M218" s="35"/>
      <c r="N218" s="4"/>
      <c r="O218" s="4"/>
      <c r="P218" s="50"/>
      <c r="Q218" s="50"/>
      <c r="R218" s="50"/>
      <c r="S218" s="51"/>
      <c r="T218" s="4"/>
      <c r="U218" s="4"/>
    </row>
    <row r="219" ht="18.0" customHeight="1">
      <c r="A219" s="35"/>
      <c r="B219" s="37" t="s">
        <v>339</v>
      </c>
      <c r="C219" s="38">
        <v>44691.0</v>
      </c>
      <c r="D219" s="37">
        <v>80.0</v>
      </c>
      <c r="E219" s="37">
        <v>964.0</v>
      </c>
      <c r="F219" s="37">
        <v>171.17</v>
      </c>
      <c r="G219" s="39">
        <v>4627.23</v>
      </c>
      <c r="H219" s="37" t="s">
        <v>56</v>
      </c>
      <c r="I219" s="52" t="s">
        <v>42</v>
      </c>
      <c r="J219" s="37" t="str">
        <f t="shared" si="4"/>
        <v>No</v>
      </c>
      <c r="K219" s="35"/>
      <c r="L219" s="35"/>
      <c r="M219" s="35"/>
      <c r="N219" s="4"/>
      <c r="O219" s="4"/>
      <c r="P219" s="50"/>
      <c r="Q219" s="50"/>
      <c r="R219" s="50"/>
      <c r="S219" s="51"/>
      <c r="T219" s="4"/>
      <c r="U219" s="4"/>
    </row>
    <row r="220" ht="18.0" customHeight="1">
      <c r="A220" s="35"/>
      <c r="B220" s="37" t="s">
        <v>340</v>
      </c>
      <c r="C220" s="38">
        <v>44850.0</v>
      </c>
      <c r="D220" s="37">
        <v>29.0</v>
      </c>
      <c r="E220" s="37">
        <v>928.0</v>
      </c>
      <c r="F220" s="37">
        <v>99.06</v>
      </c>
      <c r="G220" s="39">
        <v>3004.51</v>
      </c>
      <c r="H220" s="37" t="s">
        <v>59</v>
      </c>
      <c r="I220" s="52" t="s">
        <v>38</v>
      </c>
      <c r="J220" s="37" t="str">
        <f t="shared" si="4"/>
        <v>No</v>
      </c>
      <c r="K220" s="35"/>
      <c r="L220" s="35"/>
      <c r="M220" s="35"/>
      <c r="N220" s="4"/>
      <c r="O220" s="4"/>
      <c r="P220" s="50"/>
      <c r="Q220" s="50"/>
      <c r="R220" s="50"/>
      <c r="S220" s="51"/>
      <c r="T220" s="4"/>
      <c r="U220" s="4"/>
    </row>
    <row r="221" ht="18.0" customHeight="1">
      <c r="A221" s="35"/>
      <c r="B221" s="37" t="s">
        <v>341</v>
      </c>
      <c r="C221" s="38">
        <v>44821.0</v>
      </c>
      <c r="D221" s="37">
        <v>56.0</v>
      </c>
      <c r="E221" s="37">
        <v>790.0</v>
      </c>
      <c r="F221" s="37">
        <v>69.84</v>
      </c>
      <c r="G221" s="39">
        <v>8822.72</v>
      </c>
      <c r="H221" s="37" t="s">
        <v>61</v>
      </c>
      <c r="I221" s="52" t="s">
        <v>38</v>
      </c>
      <c r="J221" s="37" t="str">
        <f t="shared" si="4"/>
        <v>No</v>
      </c>
      <c r="K221" s="35"/>
      <c r="L221" s="35"/>
      <c r="M221" s="35"/>
      <c r="N221" s="4"/>
      <c r="O221" s="4"/>
      <c r="P221" s="50"/>
      <c r="Q221" s="50"/>
      <c r="R221" s="50"/>
      <c r="S221" s="51"/>
      <c r="T221" s="4"/>
      <c r="U221" s="4"/>
    </row>
    <row r="222" ht="18.0" customHeight="1">
      <c r="A222" s="35"/>
      <c r="B222" s="37" t="s">
        <v>342</v>
      </c>
      <c r="C222" s="38">
        <v>44675.0</v>
      </c>
      <c r="D222" s="37">
        <v>74.0</v>
      </c>
      <c r="E222" s="37">
        <v>10.0</v>
      </c>
      <c r="F222" s="37">
        <v>230.44</v>
      </c>
      <c r="G222" s="39">
        <v>9749.1</v>
      </c>
      <c r="H222" s="37" t="s">
        <v>63</v>
      </c>
      <c r="I222" s="52" t="s">
        <v>42</v>
      </c>
      <c r="J222" s="37" t="str">
        <f t="shared" si="4"/>
        <v>No</v>
      </c>
      <c r="K222" s="35"/>
      <c r="L222" s="35"/>
      <c r="M222" s="35"/>
      <c r="N222" s="4"/>
      <c r="O222" s="4"/>
      <c r="P222" s="50"/>
      <c r="Q222" s="50"/>
      <c r="R222" s="50"/>
      <c r="S222" s="51"/>
      <c r="T222" s="4"/>
      <c r="U222" s="4"/>
    </row>
    <row r="223" ht="18.0" customHeight="1">
      <c r="A223" s="35"/>
      <c r="B223" s="37" t="s">
        <v>343</v>
      </c>
      <c r="C223" s="38">
        <v>44798.0</v>
      </c>
      <c r="D223" s="37">
        <v>29.0</v>
      </c>
      <c r="E223" s="37">
        <v>730.0</v>
      </c>
      <c r="F223" s="37">
        <v>35.29</v>
      </c>
      <c r="G223" s="39">
        <v>9692.67</v>
      </c>
      <c r="H223" s="37" t="s">
        <v>66</v>
      </c>
      <c r="I223" s="52" t="s">
        <v>42</v>
      </c>
      <c r="J223" s="37" t="str">
        <f t="shared" si="4"/>
        <v>No</v>
      </c>
      <c r="K223" s="35"/>
      <c r="L223" s="35"/>
      <c r="M223" s="35"/>
      <c r="N223" s="4"/>
      <c r="O223" s="4"/>
      <c r="P223" s="50"/>
      <c r="Q223" s="50"/>
      <c r="R223" s="50"/>
      <c r="S223" s="51"/>
      <c r="T223" s="4"/>
      <c r="U223" s="4"/>
    </row>
    <row r="224" ht="18.0" customHeight="1">
      <c r="A224" s="35"/>
      <c r="B224" s="37" t="s">
        <v>64</v>
      </c>
      <c r="C224" s="38">
        <v>44731.0</v>
      </c>
      <c r="D224" s="37">
        <v>10.0</v>
      </c>
      <c r="E224" s="37">
        <v>7.0</v>
      </c>
      <c r="F224" s="37">
        <v>41.73</v>
      </c>
      <c r="G224" s="39">
        <v>3326.83</v>
      </c>
      <c r="H224" s="37" t="s">
        <v>68</v>
      </c>
      <c r="I224" s="52" t="s">
        <v>42</v>
      </c>
      <c r="J224" s="37" t="str">
        <f t="shared" si="4"/>
        <v>No</v>
      </c>
      <c r="K224" s="35"/>
      <c r="L224" s="35"/>
      <c r="M224" s="35"/>
      <c r="N224" s="4"/>
      <c r="O224" s="4"/>
      <c r="P224" s="50"/>
      <c r="Q224" s="50"/>
      <c r="R224" s="50"/>
      <c r="S224" s="51"/>
      <c r="T224" s="4"/>
      <c r="U224" s="4"/>
    </row>
    <row r="225" ht="18.0" customHeight="1">
      <c r="A225" s="35"/>
      <c r="B225" s="37" t="s">
        <v>344</v>
      </c>
      <c r="C225" s="38">
        <v>44658.0</v>
      </c>
      <c r="D225" s="37">
        <v>89.0</v>
      </c>
      <c r="E225" s="37">
        <v>436.0</v>
      </c>
      <c r="F225" s="37">
        <v>174.63</v>
      </c>
      <c r="G225" s="39">
        <v>5896.64</v>
      </c>
      <c r="H225" s="37" t="s">
        <v>71</v>
      </c>
      <c r="I225" s="52" t="s">
        <v>50</v>
      </c>
      <c r="J225" s="37" t="str">
        <f t="shared" si="4"/>
        <v>No</v>
      </c>
      <c r="K225" s="35"/>
      <c r="L225" s="35"/>
      <c r="M225" s="35"/>
      <c r="N225" s="4"/>
      <c r="O225" s="4"/>
      <c r="P225" s="50"/>
      <c r="Q225" s="50"/>
      <c r="R225" s="50"/>
      <c r="S225" s="51"/>
      <c r="T225" s="4"/>
      <c r="U225" s="4"/>
    </row>
    <row r="226" ht="18.0" customHeight="1">
      <c r="A226" s="35"/>
      <c r="B226" s="37" t="s">
        <v>345</v>
      </c>
      <c r="C226" s="38">
        <v>44750.0</v>
      </c>
      <c r="D226" s="37">
        <v>9.0</v>
      </c>
      <c r="E226" s="37">
        <v>430.0</v>
      </c>
      <c r="F226" s="37">
        <v>127.31</v>
      </c>
      <c r="G226" s="39">
        <v>9931.62</v>
      </c>
      <c r="H226" s="37" t="s">
        <v>37</v>
      </c>
      <c r="I226" s="52" t="s">
        <v>38</v>
      </c>
      <c r="J226" s="37" t="str">
        <f t="shared" si="4"/>
        <v>No</v>
      </c>
      <c r="K226" s="35"/>
      <c r="L226" s="35"/>
      <c r="M226" s="35"/>
      <c r="N226" s="4"/>
      <c r="O226" s="4"/>
      <c r="P226" s="50"/>
      <c r="Q226" s="50"/>
      <c r="R226" s="50"/>
      <c r="S226" s="51"/>
      <c r="T226" s="4"/>
      <c r="U226" s="4"/>
    </row>
    <row r="227" ht="18.0" customHeight="1">
      <c r="A227" s="35"/>
      <c r="B227" s="37" t="s">
        <v>21</v>
      </c>
      <c r="C227" s="38">
        <v>44833.0</v>
      </c>
      <c r="D227" s="37">
        <v>3.0</v>
      </c>
      <c r="E227" s="37">
        <v>18.0</v>
      </c>
      <c r="F227" s="37">
        <v>137.49</v>
      </c>
      <c r="G227" s="39">
        <v>2286.48</v>
      </c>
      <c r="H227" s="37" t="s">
        <v>87</v>
      </c>
      <c r="I227" s="52" t="s">
        <v>38</v>
      </c>
      <c r="J227" s="37" t="str">
        <f t="shared" si="4"/>
        <v>No</v>
      </c>
      <c r="K227" s="35"/>
      <c r="L227" s="35"/>
      <c r="M227" s="35"/>
      <c r="N227" s="4"/>
      <c r="O227" s="4"/>
      <c r="P227" s="50"/>
      <c r="Q227" s="50"/>
      <c r="R227" s="50"/>
      <c r="S227" s="51"/>
      <c r="T227" s="4"/>
      <c r="U227" s="4"/>
    </row>
    <row r="228" ht="18.0" customHeight="1">
      <c r="A228" s="35"/>
      <c r="B228" s="37" t="s">
        <v>346</v>
      </c>
      <c r="C228" s="38">
        <v>44790.0</v>
      </c>
      <c r="D228" s="37">
        <v>51.0</v>
      </c>
      <c r="E228" s="37">
        <v>540.0</v>
      </c>
      <c r="F228" s="37">
        <v>216.4</v>
      </c>
      <c r="G228" s="39">
        <v>6304.63</v>
      </c>
      <c r="H228" s="37" t="s">
        <v>37</v>
      </c>
      <c r="I228" s="52" t="s">
        <v>38</v>
      </c>
      <c r="J228" s="37" t="str">
        <f t="shared" si="4"/>
        <v>No</v>
      </c>
      <c r="K228" s="35"/>
      <c r="L228" s="35"/>
      <c r="M228" s="35"/>
      <c r="N228" s="4"/>
      <c r="O228" s="4"/>
      <c r="P228" s="50"/>
      <c r="Q228" s="50"/>
      <c r="R228" s="50"/>
      <c r="S228" s="51"/>
      <c r="T228" s="4"/>
      <c r="U228" s="4"/>
    </row>
    <row r="229" ht="18.0" customHeight="1">
      <c r="A229" s="35"/>
      <c r="B229" s="37" t="s">
        <v>347</v>
      </c>
      <c r="C229" s="38">
        <v>44638.0</v>
      </c>
      <c r="D229" s="37">
        <v>67.0</v>
      </c>
      <c r="E229" s="37">
        <v>279.0</v>
      </c>
      <c r="F229" s="37">
        <v>148.56</v>
      </c>
      <c r="G229" s="39">
        <v>4974.42</v>
      </c>
      <c r="H229" s="37" t="s">
        <v>87</v>
      </c>
      <c r="I229" s="52" t="s">
        <v>50</v>
      </c>
      <c r="J229" s="37" t="str">
        <f t="shared" si="4"/>
        <v>No</v>
      </c>
      <c r="K229" s="35"/>
      <c r="L229" s="35"/>
      <c r="M229" s="35"/>
      <c r="N229" s="4"/>
      <c r="O229" s="4"/>
      <c r="P229" s="50"/>
      <c r="Q229" s="50"/>
      <c r="R229" s="50"/>
      <c r="S229" s="51"/>
      <c r="T229" s="4"/>
      <c r="U229" s="4"/>
    </row>
    <row r="230" ht="18.0" customHeight="1">
      <c r="A230" s="35"/>
      <c r="B230" s="37" t="s">
        <v>348</v>
      </c>
      <c r="C230" s="38">
        <v>44761.0</v>
      </c>
      <c r="D230" s="37">
        <v>15.0</v>
      </c>
      <c r="E230" s="37">
        <v>632.0</v>
      </c>
      <c r="F230" s="37">
        <v>84.29</v>
      </c>
      <c r="G230" s="39">
        <v>5674.86</v>
      </c>
      <c r="H230" s="37" t="s">
        <v>37</v>
      </c>
      <c r="I230" s="52" t="s">
        <v>42</v>
      </c>
      <c r="J230" s="37" t="str">
        <f t="shared" si="4"/>
        <v>No</v>
      </c>
      <c r="K230" s="35"/>
      <c r="L230" s="35"/>
      <c r="M230" s="35"/>
      <c r="N230" s="4"/>
      <c r="O230" s="4"/>
      <c r="P230" s="50"/>
      <c r="Q230" s="50"/>
      <c r="R230" s="50"/>
      <c r="S230" s="51"/>
      <c r="T230" s="4"/>
      <c r="U230" s="4"/>
    </row>
    <row r="231" ht="18.0" customHeight="1">
      <c r="A231" s="35"/>
      <c r="B231" s="37" t="s">
        <v>69</v>
      </c>
      <c r="C231" s="38">
        <v>44617.0</v>
      </c>
      <c r="D231" s="37">
        <v>80.0</v>
      </c>
      <c r="E231" s="37">
        <v>546.0</v>
      </c>
      <c r="F231" s="37">
        <v>104.83</v>
      </c>
      <c r="G231" s="39">
        <v>4345.33</v>
      </c>
      <c r="H231" s="37" t="s">
        <v>87</v>
      </c>
      <c r="I231" s="52" t="s">
        <v>38</v>
      </c>
      <c r="J231" s="37" t="str">
        <f t="shared" si="4"/>
        <v>No</v>
      </c>
      <c r="K231" s="35"/>
      <c r="L231" s="35"/>
      <c r="M231" s="35"/>
      <c r="N231" s="4"/>
      <c r="O231" s="4"/>
      <c r="P231" s="50"/>
      <c r="Q231" s="50"/>
      <c r="R231" s="50"/>
      <c r="S231" s="51"/>
      <c r="T231" s="4"/>
      <c r="U231" s="4"/>
    </row>
    <row r="232" ht="18.0" customHeight="1">
      <c r="A232" s="35"/>
      <c r="B232" s="37" t="s">
        <v>349</v>
      </c>
      <c r="C232" s="38">
        <v>44783.0</v>
      </c>
      <c r="D232" s="37">
        <v>91.0</v>
      </c>
      <c r="E232" s="37">
        <v>330.0</v>
      </c>
      <c r="F232" s="37">
        <v>207.54</v>
      </c>
      <c r="G232" s="39">
        <v>9593.74</v>
      </c>
      <c r="H232" s="37" t="s">
        <v>37</v>
      </c>
      <c r="I232" s="52" t="s">
        <v>42</v>
      </c>
      <c r="J232" s="37" t="str">
        <f t="shared" si="4"/>
        <v>No</v>
      </c>
      <c r="K232" s="35"/>
      <c r="L232" s="35"/>
      <c r="M232" s="35"/>
      <c r="N232" s="4"/>
      <c r="O232" s="4"/>
      <c r="P232" s="50"/>
      <c r="Q232" s="50"/>
      <c r="R232" s="50"/>
      <c r="S232" s="51"/>
      <c r="T232" s="4"/>
      <c r="U232" s="4"/>
    </row>
    <row r="233" ht="18.0" customHeight="1">
      <c r="A233" s="35"/>
      <c r="B233" s="37" t="s">
        <v>17</v>
      </c>
      <c r="C233" s="38">
        <v>44912.0</v>
      </c>
      <c r="D233" s="37">
        <v>53.0</v>
      </c>
      <c r="E233" s="37">
        <v>580.0</v>
      </c>
      <c r="F233" s="37">
        <v>244.08</v>
      </c>
      <c r="G233" s="39">
        <v>7583.72</v>
      </c>
      <c r="H233" s="37" t="s">
        <v>87</v>
      </c>
      <c r="I233" s="52" t="s">
        <v>50</v>
      </c>
      <c r="J233" s="37" t="str">
        <f t="shared" si="4"/>
        <v>No</v>
      </c>
      <c r="K233" s="35"/>
      <c r="L233" s="35"/>
      <c r="M233" s="35"/>
      <c r="N233" s="4"/>
      <c r="O233" s="4"/>
      <c r="P233" s="50"/>
      <c r="Q233" s="50"/>
      <c r="R233" s="50"/>
      <c r="S233" s="51"/>
      <c r="T233" s="4"/>
      <c r="U233" s="4"/>
    </row>
    <row r="234" ht="18.0" customHeight="1">
      <c r="A234" s="35"/>
      <c r="B234" s="37" t="s">
        <v>350</v>
      </c>
      <c r="C234" s="38">
        <v>44648.0</v>
      </c>
      <c r="D234" s="37">
        <v>46.0</v>
      </c>
      <c r="E234" s="37">
        <v>623.0</v>
      </c>
      <c r="F234" s="37">
        <v>27.63</v>
      </c>
      <c r="G234" s="39">
        <v>7878.89</v>
      </c>
      <c r="H234" s="37" t="s">
        <v>37</v>
      </c>
      <c r="I234" s="52" t="s">
        <v>42</v>
      </c>
      <c r="J234" s="37" t="str">
        <f t="shared" si="4"/>
        <v>No</v>
      </c>
      <c r="K234" s="35"/>
      <c r="L234" s="35"/>
      <c r="M234" s="35"/>
      <c r="N234" s="4"/>
      <c r="O234" s="4"/>
      <c r="P234" s="50"/>
      <c r="Q234" s="50"/>
      <c r="R234" s="50"/>
      <c r="S234" s="51"/>
      <c r="T234" s="4"/>
      <c r="U234" s="4"/>
    </row>
    <row r="235" ht="18.0" customHeight="1">
      <c r="A235" s="35"/>
      <c r="B235" s="37" t="s">
        <v>351</v>
      </c>
      <c r="C235" s="38">
        <v>44625.0</v>
      </c>
      <c r="D235" s="37">
        <v>44.0</v>
      </c>
      <c r="E235" s="37">
        <v>740.0</v>
      </c>
      <c r="F235" s="37">
        <v>89.52</v>
      </c>
      <c r="G235" s="39">
        <v>7585.31</v>
      </c>
      <c r="H235" s="37" t="s">
        <v>352</v>
      </c>
      <c r="I235" s="52" t="s">
        <v>42</v>
      </c>
      <c r="J235" s="37" t="str">
        <f t="shared" si="4"/>
        <v>No</v>
      </c>
      <c r="K235" s="35"/>
      <c r="L235" s="35"/>
      <c r="M235" s="35"/>
      <c r="N235" s="4"/>
      <c r="O235" s="4"/>
      <c r="P235" s="50"/>
      <c r="Q235" s="50"/>
      <c r="R235" s="50"/>
      <c r="S235" s="51"/>
      <c r="T235" s="4"/>
      <c r="U235" s="4"/>
    </row>
    <row r="236" ht="18.0" customHeight="1">
      <c r="A236" s="35"/>
      <c r="B236" s="37" t="s">
        <v>353</v>
      </c>
      <c r="C236" s="38">
        <v>44659.0</v>
      </c>
      <c r="D236" s="37">
        <v>84.0</v>
      </c>
      <c r="E236" s="37">
        <v>50.0</v>
      </c>
      <c r="F236" s="37">
        <v>5.34</v>
      </c>
      <c r="G236" s="39">
        <v>3462.74</v>
      </c>
      <c r="H236" s="37" t="s">
        <v>354</v>
      </c>
      <c r="I236" s="52" t="s">
        <v>38</v>
      </c>
      <c r="J236" s="37" t="str">
        <f t="shared" si="4"/>
        <v>No</v>
      </c>
      <c r="K236" s="35"/>
      <c r="L236" s="35"/>
      <c r="M236" s="35"/>
      <c r="N236" s="4"/>
      <c r="O236" s="4"/>
      <c r="P236" s="50"/>
      <c r="Q236" s="50"/>
      <c r="R236" s="50"/>
      <c r="S236" s="51"/>
      <c r="T236" s="4"/>
      <c r="U236" s="4"/>
    </row>
    <row r="237" ht="18.0" customHeight="1">
      <c r="A237" s="35"/>
      <c r="B237" s="37" t="s">
        <v>355</v>
      </c>
      <c r="C237" s="38">
        <v>44729.0</v>
      </c>
      <c r="D237" s="37">
        <v>18.0</v>
      </c>
      <c r="E237" s="37">
        <v>620.0</v>
      </c>
      <c r="F237" s="37">
        <v>171.72</v>
      </c>
      <c r="G237" s="39">
        <v>5453.02</v>
      </c>
      <c r="H237" s="37" t="s">
        <v>356</v>
      </c>
      <c r="I237" s="52" t="s">
        <v>38</v>
      </c>
      <c r="J237" s="37" t="str">
        <f t="shared" si="4"/>
        <v>No</v>
      </c>
      <c r="K237" s="35"/>
      <c r="L237" s="35"/>
      <c r="M237" s="35"/>
      <c r="N237" s="4"/>
      <c r="O237" s="4"/>
      <c r="P237" s="50"/>
      <c r="Q237" s="50"/>
      <c r="R237" s="50"/>
      <c r="S237" s="51"/>
      <c r="T237" s="4"/>
      <c r="U237" s="4"/>
    </row>
    <row r="238" ht="18.0" customHeight="1">
      <c r="A238" s="35"/>
      <c r="B238" s="37" t="s">
        <v>357</v>
      </c>
      <c r="C238" s="38">
        <v>44702.0</v>
      </c>
      <c r="D238" s="37">
        <v>69.0</v>
      </c>
      <c r="E238" s="37">
        <v>432.0</v>
      </c>
      <c r="F238" s="37">
        <v>194.3</v>
      </c>
      <c r="G238" s="39">
        <v>4865.83</v>
      </c>
      <c r="H238" s="37" t="s">
        <v>358</v>
      </c>
      <c r="I238" s="52" t="s">
        <v>42</v>
      </c>
      <c r="J238" s="37" t="str">
        <f t="shared" si="4"/>
        <v>No</v>
      </c>
      <c r="K238" s="35"/>
      <c r="L238" s="35"/>
      <c r="M238" s="35"/>
      <c r="N238" s="4"/>
      <c r="O238" s="4"/>
      <c r="P238" s="50"/>
      <c r="Q238" s="50"/>
      <c r="R238" s="50"/>
      <c r="S238" s="51"/>
      <c r="T238" s="4"/>
      <c r="U238" s="4"/>
    </row>
    <row r="239" ht="18.0" customHeight="1">
      <c r="A239" s="35"/>
      <c r="B239" s="37" t="s">
        <v>359</v>
      </c>
      <c r="C239" s="38">
        <v>44840.0</v>
      </c>
      <c r="D239" s="37">
        <v>71.0</v>
      </c>
      <c r="E239" s="37">
        <v>582.0</v>
      </c>
      <c r="F239" s="37">
        <v>79.45</v>
      </c>
      <c r="G239" s="39">
        <v>8231.05</v>
      </c>
      <c r="H239" s="37" t="s">
        <v>87</v>
      </c>
      <c r="I239" s="52" t="s">
        <v>50</v>
      </c>
      <c r="J239" s="37" t="str">
        <f t="shared" si="4"/>
        <v>No</v>
      </c>
      <c r="K239" s="35"/>
      <c r="L239" s="35"/>
      <c r="M239" s="35"/>
      <c r="N239" s="4"/>
      <c r="O239" s="4"/>
      <c r="P239" s="50"/>
      <c r="Q239" s="50"/>
      <c r="R239" s="50"/>
      <c r="S239" s="51"/>
      <c r="T239" s="4"/>
      <c r="U239" s="4"/>
    </row>
    <row r="240" ht="18.0" customHeight="1">
      <c r="A240" s="35"/>
      <c r="B240" s="37" t="s">
        <v>360</v>
      </c>
      <c r="C240" s="38">
        <v>44810.0</v>
      </c>
      <c r="D240" s="37">
        <v>62.0</v>
      </c>
      <c r="E240" s="37">
        <v>90.0</v>
      </c>
      <c r="F240" s="37">
        <v>151.72</v>
      </c>
      <c r="G240" s="39">
        <v>2204.89</v>
      </c>
      <c r="H240" s="37" t="s">
        <v>37</v>
      </c>
      <c r="I240" s="52" t="s">
        <v>42</v>
      </c>
      <c r="J240" s="37" t="str">
        <f t="shared" si="4"/>
        <v>No</v>
      </c>
      <c r="K240" s="35"/>
      <c r="L240" s="35"/>
      <c r="M240" s="35"/>
      <c r="N240" s="4"/>
      <c r="O240" s="4"/>
      <c r="P240" s="50"/>
      <c r="Q240" s="50"/>
      <c r="R240" s="50"/>
      <c r="S240" s="51"/>
      <c r="T240" s="4"/>
      <c r="U240" s="4"/>
    </row>
    <row r="241" ht="18.0" customHeight="1">
      <c r="A241" s="35"/>
      <c r="B241" s="37" t="s">
        <v>72</v>
      </c>
      <c r="C241" s="38">
        <v>44604.0</v>
      </c>
      <c r="D241" s="37">
        <v>39.0</v>
      </c>
      <c r="E241" s="37">
        <v>132.0</v>
      </c>
      <c r="F241" s="37">
        <v>9.77</v>
      </c>
      <c r="G241" s="39">
        <v>9051.18</v>
      </c>
      <c r="H241" s="37" t="s">
        <v>41</v>
      </c>
      <c r="I241" s="52" t="s">
        <v>38</v>
      </c>
      <c r="J241" s="37" t="str">
        <f t="shared" si="4"/>
        <v>No</v>
      </c>
      <c r="K241" s="35"/>
      <c r="L241" s="35"/>
      <c r="M241" s="35"/>
      <c r="N241" s="4"/>
      <c r="O241" s="4"/>
      <c r="P241" s="50"/>
      <c r="Q241" s="50"/>
      <c r="R241" s="50"/>
      <c r="S241" s="51"/>
      <c r="T241" s="4"/>
      <c r="U241" s="4"/>
    </row>
    <row r="242" ht="18.0" customHeight="1">
      <c r="A242" s="35"/>
      <c r="B242" s="37" t="s">
        <v>36</v>
      </c>
      <c r="C242" s="38">
        <v>44670.0</v>
      </c>
      <c r="D242" s="37">
        <v>86.0</v>
      </c>
      <c r="E242" s="37">
        <v>893.0</v>
      </c>
      <c r="F242" s="37">
        <v>217.35</v>
      </c>
      <c r="G242" s="39">
        <v>4835.74</v>
      </c>
      <c r="H242" s="37" t="s">
        <v>45</v>
      </c>
      <c r="I242" s="52" t="s">
        <v>42</v>
      </c>
      <c r="J242" s="37" t="str">
        <f t="shared" si="4"/>
        <v>No</v>
      </c>
      <c r="K242" s="35"/>
      <c r="L242" s="35"/>
      <c r="M242" s="35"/>
      <c r="N242" s="4"/>
      <c r="O242" s="4"/>
      <c r="P242" s="50"/>
      <c r="Q242" s="50"/>
      <c r="R242" s="50"/>
      <c r="S242" s="51"/>
      <c r="T242" s="4"/>
      <c r="U242" s="4"/>
    </row>
    <row r="243" ht="18.0" customHeight="1">
      <c r="A243" s="35"/>
      <c r="B243" s="37" t="s">
        <v>75</v>
      </c>
      <c r="C243" s="38">
        <v>44700.0</v>
      </c>
      <c r="D243" s="37">
        <v>5.0</v>
      </c>
      <c r="E243" s="37">
        <v>410.0</v>
      </c>
      <c r="F243" s="37">
        <v>7.56</v>
      </c>
      <c r="G243" s="39">
        <v>7334.76</v>
      </c>
      <c r="H243" s="37" t="s">
        <v>49</v>
      </c>
      <c r="I243" s="52" t="s">
        <v>42</v>
      </c>
      <c r="J243" s="37" t="str">
        <f t="shared" si="4"/>
        <v>No</v>
      </c>
      <c r="K243" s="35"/>
      <c r="L243" s="35"/>
      <c r="M243" s="35"/>
      <c r="N243" s="4"/>
      <c r="O243" s="4"/>
      <c r="P243" s="50"/>
      <c r="Q243" s="50"/>
      <c r="R243" s="50"/>
      <c r="S243" s="51"/>
      <c r="T243" s="4"/>
      <c r="U243" s="4"/>
    </row>
    <row r="244" ht="18.0" customHeight="1">
      <c r="A244" s="35"/>
      <c r="B244" s="37" t="s">
        <v>77</v>
      </c>
      <c r="C244" s="38">
        <v>44614.0</v>
      </c>
      <c r="D244" s="37">
        <v>17.0</v>
      </c>
      <c r="E244" s="37">
        <v>562.0</v>
      </c>
      <c r="F244" s="37">
        <v>32.92</v>
      </c>
      <c r="G244" s="39">
        <v>5470.02</v>
      </c>
      <c r="H244" s="37" t="s">
        <v>53</v>
      </c>
      <c r="I244" s="52" t="s">
        <v>42</v>
      </c>
      <c r="J244" s="37" t="str">
        <f t="shared" si="4"/>
        <v>No</v>
      </c>
      <c r="K244" s="35"/>
      <c r="L244" s="35"/>
      <c r="M244" s="35"/>
      <c r="N244" s="4"/>
      <c r="O244" s="4"/>
      <c r="P244" s="50"/>
      <c r="Q244" s="50"/>
      <c r="R244" s="50"/>
      <c r="S244" s="51"/>
      <c r="T244" s="4"/>
      <c r="U244" s="4"/>
    </row>
    <row r="245" ht="18.0" customHeight="1">
      <c r="A245" s="35"/>
      <c r="B245" s="37" t="s">
        <v>79</v>
      </c>
      <c r="C245" s="38">
        <v>44609.0</v>
      </c>
      <c r="D245" s="37">
        <v>59.0</v>
      </c>
      <c r="E245" s="37">
        <v>923.0</v>
      </c>
      <c r="F245" s="37">
        <v>79.87</v>
      </c>
      <c r="G245" s="39">
        <v>1961.33</v>
      </c>
      <c r="H245" s="37" t="s">
        <v>56</v>
      </c>
      <c r="I245" s="52" t="s">
        <v>50</v>
      </c>
      <c r="J245" s="37" t="str">
        <f t="shared" si="4"/>
        <v>No</v>
      </c>
      <c r="K245" s="35"/>
      <c r="L245" s="35"/>
      <c r="M245" s="35"/>
      <c r="N245" s="4"/>
      <c r="O245" s="4"/>
      <c r="P245" s="50"/>
      <c r="Q245" s="50"/>
      <c r="R245" s="50"/>
      <c r="S245" s="51"/>
      <c r="T245" s="4"/>
      <c r="U245" s="4"/>
    </row>
    <row r="246" ht="18.0" customHeight="1">
      <c r="A246" s="35"/>
      <c r="B246" s="37" t="s">
        <v>81</v>
      </c>
      <c r="C246" s="38">
        <v>44909.0</v>
      </c>
      <c r="D246" s="37">
        <v>34.0</v>
      </c>
      <c r="E246" s="37">
        <v>589.0</v>
      </c>
      <c r="F246" s="37">
        <v>174.2</v>
      </c>
      <c r="G246" s="39">
        <v>6899.44</v>
      </c>
      <c r="H246" s="37" t="s">
        <v>59</v>
      </c>
      <c r="I246" s="52" t="s">
        <v>50</v>
      </c>
      <c r="J246" s="37" t="str">
        <f t="shared" si="4"/>
        <v>No</v>
      </c>
      <c r="K246" s="35"/>
      <c r="L246" s="35"/>
      <c r="M246" s="35"/>
      <c r="N246" s="4"/>
      <c r="O246" s="4"/>
      <c r="P246" s="50"/>
      <c r="Q246" s="50"/>
      <c r="R246" s="50"/>
      <c r="S246" s="51"/>
      <c r="T246" s="4"/>
      <c r="U246" s="4"/>
    </row>
    <row r="247" ht="18.0" customHeight="1">
      <c r="A247" s="35"/>
      <c r="B247" s="37" t="s">
        <v>21</v>
      </c>
      <c r="C247" s="38">
        <v>44910.0</v>
      </c>
      <c r="D247" s="37">
        <v>31.0</v>
      </c>
      <c r="E247" s="37">
        <v>339.0</v>
      </c>
      <c r="F247" s="37">
        <v>134.6</v>
      </c>
      <c r="G247" s="39">
        <v>1386.32</v>
      </c>
      <c r="H247" s="37" t="s">
        <v>61</v>
      </c>
      <c r="I247" s="52" t="s">
        <v>42</v>
      </c>
      <c r="J247" s="37" t="str">
        <f t="shared" si="4"/>
        <v>No</v>
      </c>
      <c r="K247" s="35"/>
      <c r="L247" s="35"/>
      <c r="M247" s="35"/>
      <c r="N247" s="4"/>
      <c r="O247" s="4"/>
      <c r="P247" s="50"/>
      <c r="Q247" s="50"/>
      <c r="R247" s="50"/>
      <c r="S247" s="51"/>
      <c r="T247" s="4"/>
      <c r="U247" s="4"/>
    </row>
    <row r="248" ht="18.0" customHeight="1">
      <c r="A248" s="35"/>
      <c r="B248" s="37" t="s">
        <v>40</v>
      </c>
      <c r="C248" s="38">
        <v>44876.0</v>
      </c>
      <c r="D248" s="37">
        <v>31.0</v>
      </c>
      <c r="E248" s="37">
        <v>38.0</v>
      </c>
      <c r="F248" s="37">
        <v>114.74</v>
      </c>
      <c r="G248" s="39">
        <v>6919.39</v>
      </c>
      <c r="H248" s="37" t="s">
        <v>63</v>
      </c>
      <c r="I248" s="52" t="s">
        <v>50</v>
      </c>
      <c r="J248" s="37" t="str">
        <f t="shared" si="4"/>
        <v>No</v>
      </c>
      <c r="K248" s="35"/>
      <c r="L248" s="35"/>
      <c r="M248" s="35"/>
      <c r="N248" s="4"/>
      <c r="O248" s="4"/>
      <c r="P248" s="50"/>
      <c r="Q248" s="50"/>
      <c r="R248" s="50"/>
      <c r="S248" s="51"/>
      <c r="T248" s="4"/>
      <c r="U248" s="4"/>
    </row>
    <row r="249" ht="18.0" customHeight="1">
      <c r="A249" s="35"/>
      <c r="B249" s="37" t="s">
        <v>361</v>
      </c>
      <c r="C249" s="38">
        <v>44906.0</v>
      </c>
      <c r="D249" s="37">
        <v>88.0</v>
      </c>
      <c r="E249" s="37">
        <v>402.0</v>
      </c>
      <c r="F249" s="37">
        <v>36.26</v>
      </c>
      <c r="G249" s="39">
        <v>2544.26</v>
      </c>
      <c r="H249" s="37" t="s">
        <v>66</v>
      </c>
      <c r="I249" s="52" t="s">
        <v>38</v>
      </c>
      <c r="J249" s="37" t="str">
        <f t="shared" si="4"/>
        <v>No</v>
      </c>
      <c r="K249" s="35"/>
      <c r="L249" s="35"/>
      <c r="M249" s="35"/>
      <c r="N249" s="4"/>
      <c r="O249" s="4"/>
      <c r="P249" s="50"/>
      <c r="Q249" s="50"/>
      <c r="R249" s="50"/>
      <c r="S249" s="51"/>
      <c r="T249" s="4"/>
      <c r="U249" s="4"/>
    </row>
    <row r="250" ht="18.0" customHeight="1">
      <c r="A250" s="35"/>
      <c r="B250" s="37" t="s">
        <v>362</v>
      </c>
      <c r="C250" s="38">
        <v>44836.0</v>
      </c>
      <c r="D250" s="37">
        <v>84.0</v>
      </c>
      <c r="E250" s="37">
        <v>372.0</v>
      </c>
      <c r="F250" s="37">
        <v>172.66</v>
      </c>
      <c r="G250" s="39">
        <v>4348.3</v>
      </c>
      <c r="H250" s="37" t="s">
        <v>68</v>
      </c>
      <c r="I250" s="52" t="s">
        <v>42</v>
      </c>
      <c r="J250" s="37" t="str">
        <f t="shared" si="4"/>
        <v>No</v>
      </c>
      <c r="K250" s="35"/>
      <c r="L250" s="35"/>
      <c r="M250" s="35"/>
      <c r="N250" s="4"/>
      <c r="O250" s="4"/>
      <c r="P250" s="50"/>
      <c r="Q250" s="50"/>
      <c r="R250" s="50"/>
      <c r="S250" s="51"/>
      <c r="T250" s="4"/>
      <c r="U250" s="4"/>
    </row>
    <row r="251" ht="18.0" customHeight="1">
      <c r="A251" s="35"/>
      <c r="B251" s="37" t="s">
        <v>363</v>
      </c>
      <c r="C251" s="38">
        <v>44803.0</v>
      </c>
      <c r="D251" s="37">
        <v>100.0</v>
      </c>
      <c r="E251" s="37">
        <v>89.0</v>
      </c>
      <c r="F251" s="37">
        <v>101.66</v>
      </c>
      <c r="G251" s="39">
        <v>9064.71</v>
      </c>
      <c r="H251" s="37" t="s">
        <v>71</v>
      </c>
      <c r="I251" s="52" t="s">
        <v>50</v>
      </c>
      <c r="J251" s="37" t="str">
        <f t="shared" si="4"/>
        <v>No</v>
      </c>
      <c r="K251" s="35"/>
      <c r="L251" s="35"/>
      <c r="M251" s="35"/>
      <c r="N251" s="4"/>
      <c r="O251" s="4"/>
      <c r="P251" s="50"/>
      <c r="Q251" s="50"/>
      <c r="R251" s="50"/>
      <c r="S251" s="51"/>
      <c r="T251" s="4"/>
      <c r="U251" s="4"/>
    </row>
    <row r="252" ht="18.0" customHeight="1">
      <c r="A252" s="35"/>
      <c r="B252" s="37" t="s">
        <v>364</v>
      </c>
      <c r="C252" s="38">
        <v>44625.0</v>
      </c>
      <c r="D252" s="37">
        <v>61.0</v>
      </c>
      <c r="E252" s="37">
        <v>83.0</v>
      </c>
      <c r="F252" s="37">
        <v>29.43</v>
      </c>
      <c r="G252" s="39">
        <v>970.95</v>
      </c>
      <c r="H252" s="37" t="s">
        <v>365</v>
      </c>
      <c r="I252" s="52" t="s">
        <v>50</v>
      </c>
      <c r="J252" s="37" t="str">
        <f t="shared" si="4"/>
        <v>No</v>
      </c>
      <c r="K252" s="35"/>
      <c r="L252" s="35"/>
      <c r="M252" s="35"/>
      <c r="N252" s="4"/>
      <c r="O252" s="4"/>
      <c r="P252" s="50"/>
      <c r="Q252" s="50"/>
      <c r="R252" s="50"/>
      <c r="S252" s="51"/>
      <c r="T252" s="4"/>
      <c r="U252" s="4"/>
    </row>
    <row r="253" ht="18.0" customHeight="1">
      <c r="A253" s="35"/>
      <c r="B253" s="37" t="s">
        <v>366</v>
      </c>
      <c r="C253" s="38">
        <v>44717.0</v>
      </c>
      <c r="D253" s="37">
        <v>8.0</v>
      </c>
      <c r="E253" s="37">
        <v>671.0</v>
      </c>
      <c r="F253" s="37">
        <v>26.29</v>
      </c>
      <c r="G253" s="39">
        <v>8848.5</v>
      </c>
      <c r="H253" s="37" t="s">
        <v>367</v>
      </c>
      <c r="I253" s="52" t="s">
        <v>38</v>
      </c>
      <c r="J253" s="37" t="str">
        <f t="shared" si="4"/>
        <v>No</v>
      </c>
      <c r="K253" s="35"/>
      <c r="L253" s="35"/>
      <c r="M253" s="35"/>
      <c r="N253" s="4"/>
      <c r="O253" s="4"/>
      <c r="P253" s="50"/>
      <c r="Q253" s="50"/>
      <c r="R253" s="50"/>
      <c r="S253" s="51"/>
      <c r="T253" s="4"/>
      <c r="U253" s="4"/>
    </row>
    <row r="254" ht="18.0" customHeight="1">
      <c r="A254" s="35"/>
      <c r="B254" s="37" t="s">
        <v>17</v>
      </c>
      <c r="C254" s="38">
        <v>44882.0</v>
      </c>
      <c r="D254" s="37">
        <v>13.0</v>
      </c>
      <c r="E254" s="37">
        <v>713.0</v>
      </c>
      <c r="F254" s="37">
        <v>81.08</v>
      </c>
      <c r="G254" s="39">
        <v>4991.21</v>
      </c>
      <c r="H254" s="37" t="s">
        <v>368</v>
      </c>
      <c r="I254" s="52" t="s">
        <v>42</v>
      </c>
      <c r="J254" s="37" t="str">
        <f t="shared" si="4"/>
        <v>No</v>
      </c>
      <c r="K254" s="35"/>
      <c r="L254" s="35"/>
      <c r="M254" s="35"/>
      <c r="N254" s="4"/>
      <c r="O254" s="4"/>
      <c r="P254" s="50"/>
      <c r="Q254" s="50"/>
      <c r="R254" s="50"/>
      <c r="S254" s="51"/>
      <c r="T254" s="4"/>
      <c r="U254" s="4"/>
    </row>
    <row r="255" ht="18.0" customHeight="1">
      <c r="A255" s="35"/>
      <c r="B255" s="37" t="s">
        <v>369</v>
      </c>
      <c r="C255" s="38">
        <v>44565.0</v>
      </c>
      <c r="D255" s="37">
        <v>100.0</v>
      </c>
      <c r="E255" s="37">
        <v>154.0</v>
      </c>
      <c r="F255" s="37">
        <v>62.78</v>
      </c>
      <c r="G255" s="39">
        <v>2313.19</v>
      </c>
      <c r="H255" s="37" t="s">
        <v>370</v>
      </c>
      <c r="I255" s="52" t="s">
        <v>42</v>
      </c>
      <c r="J255" s="37" t="str">
        <f t="shared" si="4"/>
        <v>No</v>
      </c>
      <c r="K255" s="35"/>
      <c r="L255" s="35"/>
      <c r="M255" s="35"/>
      <c r="N255" s="4"/>
      <c r="O255" s="4"/>
      <c r="P255" s="50"/>
      <c r="Q255" s="50"/>
      <c r="R255" s="50"/>
      <c r="S255" s="51"/>
      <c r="T255" s="4"/>
      <c r="U255" s="4"/>
    </row>
    <row r="256" ht="18.0" customHeight="1">
      <c r="A256" s="35"/>
      <c r="B256" s="37" t="s">
        <v>371</v>
      </c>
      <c r="C256" s="38">
        <v>44779.0</v>
      </c>
      <c r="D256" s="37">
        <v>46.0</v>
      </c>
      <c r="E256" s="37">
        <v>824.0</v>
      </c>
      <c r="F256" s="37">
        <v>211.87</v>
      </c>
      <c r="G256" s="39">
        <v>3919.32</v>
      </c>
      <c r="H256" s="37" t="s">
        <v>123</v>
      </c>
      <c r="I256" s="52" t="s">
        <v>50</v>
      </c>
      <c r="J256" s="37" t="str">
        <f t="shared" si="4"/>
        <v>No</v>
      </c>
      <c r="K256" s="35"/>
      <c r="L256" s="35"/>
      <c r="M256" s="35"/>
      <c r="N256" s="4"/>
      <c r="O256" s="4"/>
      <c r="P256" s="50"/>
      <c r="Q256" s="50"/>
      <c r="R256" s="50"/>
      <c r="S256" s="51"/>
      <c r="T256" s="4"/>
      <c r="U256" s="4"/>
    </row>
    <row r="257" ht="18.0" customHeight="1">
      <c r="A257" s="35"/>
      <c r="B257" s="37" t="s">
        <v>372</v>
      </c>
      <c r="C257" s="38">
        <v>44922.0</v>
      </c>
      <c r="D257" s="37">
        <v>77.0</v>
      </c>
      <c r="E257" s="37">
        <v>451.0</v>
      </c>
      <c r="F257" s="37">
        <v>146.76</v>
      </c>
      <c r="G257" s="39">
        <v>1150.87</v>
      </c>
      <c r="H257" s="37" t="s">
        <v>373</v>
      </c>
      <c r="I257" s="52" t="s">
        <v>50</v>
      </c>
      <c r="J257" s="37" t="str">
        <f t="shared" si="4"/>
        <v>No</v>
      </c>
      <c r="K257" s="35"/>
      <c r="L257" s="35"/>
      <c r="M257" s="35"/>
      <c r="N257" s="4"/>
      <c r="O257" s="4"/>
      <c r="P257" s="50"/>
      <c r="Q257" s="50"/>
      <c r="R257" s="50"/>
      <c r="S257" s="51"/>
      <c r="T257" s="4"/>
      <c r="U257" s="4"/>
    </row>
    <row r="258" ht="18.0" customHeight="1">
      <c r="A258" s="35"/>
      <c r="B258" s="37" t="s">
        <v>374</v>
      </c>
      <c r="C258" s="38">
        <v>44657.0</v>
      </c>
      <c r="D258" s="37">
        <v>31.0</v>
      </c>
      <c r="E258" s="37">
        <v>135.0</v>
      </c>
      <c r="F258" s="37">
        <v>135.99</v>
      </c>
      <c r="G258" s="39">
        <v>568.92</v>
      </c>
      <c r="H258" s="37" t="s">
        <v>375</v>
      </c>
      <c r="I258" s="52" t="s">
        <v>38</v>
      </c>
      <c r="J258" s="37" t="str">
        <f t="shared" si="4"/>
        <v>No</v>
      </c>
      <c r="K258" s="35"/>
      <c r="L258" s="35"/>
      <c r="M258" s="35"/>
      <c r="N258" s="4"/>
      <c r="O258" s="4"/>
      <c r="P258" s="50"/>
      <c r="Q258" s="50"/>
      <c r="R258" s="50"/>
      <c r="S258" s="51"/>
      <c r="T258" s="4"/>
      <c r="U258" s="4"/>
    </row>
    <row r="259" ht="18.0" customHeight="1">
      <c r="A259" s="35"/>
      <c r="B259" s="37" t="s">
        <v>376</v>
      </c>
      <c r="C259" s="38">
        <v>44801.0</v>
      </c>
      <c r="D259" s="37">
        <v>46.0</v>
      </c>
      <c r="E259" s="37">
        <v>275.0</v>
      </c>
      <c r="F259" s="37">
        <v>134.41</v>
      </c>
      <c r="G259" s="39">
        <v>6797.7</v>
      </c>
      <c r="H259" s="37" t="s">
        <v>377</v>
      </c>
      <c r="I259" s="52" t="s">
        <v>42</v>
      </c>
      <c r="J259" s="37" t="str">
        <f t="shared" si="4"/>
        <v>No</v>
      </c>
      <c r="K259" s="35"/>
      <c r="L259" s="35"/>
      <c r="M259" s="35"/>
      <c r="N259" s="4"/>
      <c r="O259" s="4"/>
      <c r="P259" s="50"/>
      <c r="Q259" s="50"/>
      <c r="R259" s="50"/>
      <c r="S259" s="51"/>
      <c r="T259" s="4"/>
      <c r="U259" s="4"/>
    </row>
    <row r="260" ht="18.0" customHeight="1">
      <c r="A260" s="35"/>
      <c r="B260" s="37" t="s">
        <v>378</v>
      </c>
      <c r="C260" s="38">
        <v>44691.0</v>
      </c>
      <c r="D260" s="37">
        <v>21.0</v>
      </c>
      <c r="E260" s="37">
        <v>792.0</v>
      </c>
      <c r="F260" s="37">
        <v>10.31</v>
      </c>
      <c r="G260" s="39">
        <v>2841.12</v>
      </c>
      <c r="H260" s="37" t="s">
        <v>87</v>
      </c>
      <c r="I260" s="52" t="s">
        <v>50</v>
      </c>
      <c r="J260" s="37" t="str">
        <f t="shared" si="4"/>
        <v>No</v>
      </c>
      <c r="K260" s="35"/>
      <c r="L260" s="35"/>
      <c r="M260" s="35"/>
      <c r="N260" s="4"/>
      <c r="O260" s="4"/>
      <c r="P260" s="50"/>
      <c r="Q260" s="50"/>
      <c r="R260" s="50"/>
      <c r="S260" s="51"/>
      <c r="T260" s="4"/>
      <c r="U260" s="4"/>
    </row>
    <row r="261" ht="18.0" customHeight="1">
      <c r="A261" s="35"/>
      <c r="B261" s="37" t="s">
        <v>379</v>
      </c>
      <c r="C261" s="38">
        <v>44887.0</v>
      </c>
      <c r="D261" s="37">
        <v>76.0</v>
      </c>
      <c r="E261" s="37">
        <v>997.0</v>
      </c>
      <c r="F261" s="37">
        <v>18.34</v>
      </c>
      <c r="G261" s="39">
        <v>2549.75</v>
      </c>
      <c r="H261" s="37" t="s">
        <v>37</v>
      </c>
      <c r="I261" s="52" t="s">
        <v>50</v>
      </c>
      <c r="J261" s="37" t="str">
        <f t="shared" si="4"/>
        <v>No</v>
      </c>
      <c r="K261" s="35"/>
      <c r="L261" s="35"/>
      <c r="M261" s="35"/>
      <c r="N261" s="4"/>
      <c r="O261" s="4"/>
      <c r="P261" s="50"/>
      <c r="Q261" s="50"/>
      <c r="R261" s="50"/>
      <c r="S261" s="51"/>
      <c r="T261" s="4"/>
      <c r="U261" s="4"/>
    </row>
    <row r="262" ht="18.0" customHeight="1">
      <c r="A262" s="35"/>
      <c r="B262" s="37" t="s">
        <v>380</v>
      </c>
      <c r="C262" s="38">
        <v>44859.0</v>
      </c>
      <c r="D262" s="37">
        <v>40.0</v>
      </c>
      <c r="E262" s="37">
        <v>86.0</v>
      </c>
      <c r="F262" s="37">
        <v>69.49</v>
      </c>
      <c r="G262" s="39">
        <v>5675.29</v>
      </c>
      <c r="H262" s="37" t="s">
        <v>41</v>
      </c>
      <c r="I262" s="52" t="s">
        <v>42</v>
      </c>
      <c r="J262" s="37" t="str">
        <f t="shared" si="4"/>
        <v>No</v>
      </c>
      <c r="K262" s="35"/>
      <c r="L262" s="35"/>
      <c r="M262" s="35"/>
      <c r="N262" s="4"/>
      <c r="O262" s="4"/>
      <c r="P262" s="50"/>
      <c r="Q262" s="50"/>
      <c r="R262" s="50"/>
      <c r="S262" s="51"/>
      <c r="T262" s="4"/>
      <c r="U262" s="4"/>
    </row>
    <row r="263" ht="18.0" customHeight="1">
      <c r="A263" s="35"/>
      <c r="B263" s="37" t="s">
        <v>83</v>
      </c>
      <c r="C263" s="38">
        <v>44728.0</v>
      </c>
      <c r="D263" s="37">
        <v>74.0</v>
      </c>
      <c r="E263" s="37">
        <v>663.0</v>
      </c>
      <c r="F263" s="37">
        <v>45.94</v>
      </c>
      <c r="G263" s="39">
        <v>3368.27</v>
      </c>
      <c r="H263" s="37" t="s">
        <v>45</v>
      </c>
      <c r="I263" s="52" t="s">
        <v>50</v>
      </c>
      <c r="J263" s="37" t="str">
        <f t="shared" si="4"/>
        <v>No</v>
      </c>
      <c r="K263" s="35"/>
      <c r="L263" s="35"/>
      <c r="M263" s="35"/>
      <c r="N263" s="4"/>
      <c r="O263" s="4"/>
      <c r="P263" s="50"/>
      <c r="Q263" s="50"/>
      <c r="R263" s="50"/>
      <c r="S263" s="51"/>
      <c r="T263" s="4"/>
      <c r="U263" s="4"/>
    </row>
    <row r="264" ht="18.0" customHeight="1">
      <c r="A264" s="35"/>
      <c r="B264" s="37" t="s">
        <v>48</v>
      </c>
      <c r="C264" s="38">
        <v>44609.0</v>
      </c>
      <c r="D264" s="37">
        <v>91.0</v>
      </c>
      <c r="E264" s="37">
        <v>528.0</v>
      </c>
      <c r="F264" s="37">
        <v>121.97</v>
      </c>
      <c r="G264" s="39">
        <v>6214.49</v>
      </c>
      <c r="H264" s="37" t="s">
        <v>49</v>
      </c>
      <c r="I264" s="52" t="s">
        <v>50</v>
      </c>
      <c r="J264" s="37" t="str">
        <f t="shared" si="4"/>
        <v>No</v>
      </c>
      <c r="K264" s="35"/>
      <c r="L264" s="35"/>
      <c r="M264" s="35"/>
      <c r="N264" s="4"/>
      <c r="O264" s="4"/>
      <c r="P264" s="50"/>
      <c r="Q264" s="50"/>
      <c r="R264" s="50"/>
      <c r="S264" s="51"/>
      <c r="T264" s="4"/>
      <c r="U264" s="4"/>
    </row>
    <row r="265" ht="18.0" customHeight="1">
      <c r="A265" s="35"/>
      <c r="B265" s="37" t="s">
        <v>88</v>
      </c>
      <c r="C265" s="38">
        <v>44835.0</v>
      </c>
      <c r="D265" s="37">
        <v>82.0</v>
      </c>
      <c r="E265" s="37">
        <v>75.0</v>
      </c>
      <c r="F265" s="37">
        <v>197.96</v>
      </c>
      <c r="G265" s="39">
        <v>5759.42</v>
      </c>
      <c r="H265" s="37" t="s">
        <v>53</v>
      </c>
      <c r="I265" s="52" t="s">
        <v>38</v>
      </c>
      <c r="J265" s="37" t="str">
        <f t="shared" si="4"/>
        <v>No</v>
      </c>
      <c r="K265" s="35"/>
      <c r="L265" s="35"/>
      <c r="M265" s="35"/>
      <c r="N265" s="4"/>
      <c r="O265" s="4"/>
      <c r="P265" s="50"/>
      <c r="Q265" s="50"/>
      <c r="R265" s="50"/>
      <c r="S265" s="51"/>
      <c r="T265" s="4"/>
      <c r="U265" s="4"/>
    </row>
    <row r="266" ht="18.0" customHeight="1">
      <c r="A266" s="35"/>
      <c r="B266" s="37" t="s">
        <v>90</v>
      </c>
      <c r="C266" s="38">
        <v>44659.0</v>
      </c>
      <c r="D266" s="37">
        <v>96.0</v>
      </c>
      <c r="E266" s="37">
        <v>167.0</v>
      </c>
      <c r="F266" s="37">
        <v>226.01</v>
      </c>
      <c r="G266" s="39">
        <v>3467.31</v>
      </c>
      <c r="H266" s="37" t="s">
        <v>56</v>
      </c>
      <c r="I266" s="52" t="s">
        <v>50</v>
      </c>
      <c r="J266" s="37" t="str">
        <f t="shared" si="4"/>
        <v>No</v>
      </c>
      <c r="K266" s="35"/>
      <c r="L266" s="35"/>
      <c r="M266" s="35"/>
      <c r="N266" s="4"/>
      <c r="O266" s="4"/>
      <c r="P266" s="50"/>
      <c r="Q266" s="50"/>
      <c r="R266" s="50"/>
      <c r="S266" s="51"/>
      <c r="T266" s="4"/>
      <c r="U266" s="4"/>
    </row>
    <row r="267" ht="18.0" customHeight="1">
      <c r="A267" s="35"/>
      <c r="B267" s="37" t="s">
        <v>92</v>
      </c>
      <c r="C267" s="38">
        <v>44663.0</v>
      </c>
      <c r="D267" s="37">
        <v>16.0</v>
      </c>
      <c r="E267" s="37">
        <v>86.0</v>
      </c>
      <c r="F267" s="37">
        <v>154.07</v>
      </c>
      <c r="G267" s="39">
        <v>3613.72</v>
      </c>
      <c r="H267" s="37" t="s">
        <v>59</v>
      </c>
      <c r="I267" s="52" t="s">
        <v>50</v>
      </c>
      <c r="J267" s="37" t="str">
        <f t="shared" si="4"/>
        <v>No</v>
      </c>
      <c r="K267" s="35"/>
      <c r="L267" s="35"/>
      <c r="M267" s="35"/>
      <c r="N267" s="4"/>
      <c r="O267" s="4"/>
      <c r="P267" s="50"/>
      <c r="Q267" s="50"/>
      <c r="R267" s="50"/>
      <c r="S267" s="51"/>
      <c r="T267" s="4"/>
      <c r="U267" s="4"/>
    </row>
    <row r="268" ht="18.0" customHeight="1">
      <c r="A268" s="35"/>
      <c r="B268" s="37" t="s">
        <v>381</v>
      </c>
      <c r="C268" s="38">
        <v>44790.0</v>
      </c>
      <c r="D268" s="37">
        <v>40.0</v>
      </c>
      <c r="E268" s="37">
        <v>570.0</v>
      </c>
      <c r="F268" s="37">
        <v>95.79</v>
      </c>
      <c r="G268" s="39">
        <v>3135.55</v>
      </c>
      <c r="H268" s="37" t="s">
        <v>61</v>
      </c>
      <c r="I268" s="52" t="s">
        <v>38</v>
      </c>
      <c r="J268" s="37" t="str">
        <f t="shared" si="4"/>
        <v>No</v>
      </c>
      <c r="K268" s="35"/>
      <c r="L268" s="35"/>
      <c r="M268" s="35"/>
      <c r="N268" s="4"/>
      <c r="O268" s="4"/>
      <c r="P268" s="50"/>
      <c r="Q268" s="50"/>
      <c r="R268" s="50"/>
      <c r="S268" s="51"/>
      <c r="T268" s="4"/>
      <c r="U268" s="4"/>
    </row>
    <row r="269" ht="18.0" customHeight="1">
      <c r="A269" s="35"/>
      <c r="B269" s="37" t="s">
        <v>382</v>
      </c>
      <c r="C269" s="38">
        <v>44844.0</v>
      </c>
      <c r="D269" s="37">
        <v>83.0</v>
      </c>
      <c r="E269" s="37">
        <v>918.0</v>
      </c>
      <c r="F269" s="37">
        <v>158.28</v>
      </c>
      <c r="G269" s="39">
        <v>7520.57</v>
      </c>
      <c r="H269" s="37" t="s">
        <v>63</v>
      </c>
      <c r="I269" s="52" t="s">
        <v>42</v>
      </c>
      <c r="J269" s="37" t="str">
        <f t="shared" si="4"/>
        <v>No</v>
      </c>
      <c r="K269" s="35"/>
      <c r="L269" s="35"/>
      <c r="M269" s="35"/>
      <c r="N269" s="4"/>
      <c r="O269" s="4"/>
      <c r="P269" s="50"/>
      <c r="Q269" s="50"/>
      <c r="R269" s="50"/>
      <c r="S269" s="51"/>
      <c r="T269" s="4"/>
      <c r="U269" s="4"/>
    </row>
    <row r="270" ht="18.0" customHeight="1">
      <c r="A270" s="35"/>
      <c r="B270" s="37" t="s">
        <v>383</v>
      </c>
      <c r="C270" s="38">
        <v>44863.0</v>
      </c>
      <c r="D270" s="37">
        <v>4.0</v>
      </c>
      <c r="E270" s="37">
        <v>152.0</v>
      </c>
      <c r="F270" s="37">
        <v>149.66</v>
      </c>
      <c r="G270" s="39">
        <v>1818.88</v>
      </c>
      <c r="H270" s="37" t="s">
        <v>66</v>
      </c>
      <c r="I270" s="52" t="s">
        <v>42</v>
      </c>
      <c r="J270" s="37" t="str">
        <f t="shared" si="4"/>
        <v>No</v>
      </c>
      <c r="K270" s="35"/>
      <c r="L270" s="35"/>
      <c r="M270" s="35"/>
      <c r="N270" s="4"/>
      <c r="O270" s="4"/>
      <c r="P270" s="50"/>
      <c r="Q270" s="50"/>
      <c r="R270" s="50"/>
      <c r="S270" s="51"/>
      <c r="T270" s="4"/>
      <c r="U270" s="4"/>
    </row>
    <row r="271" ht="18.0" customHeight="1">
      <c r="A271" s="35"/>
      <c r="B271" s="37" t="s">
        <v>384</v>
      </c>
      <c r="C271" s="38">
        <v>44734.0</v>
      </c>
      <c r="D271" s="37">
        <v>55.0</v>
      </c>
      <c r="E271" s="37">
        <v>179.0</v>
      </c>
      <c r="F271" s="37">
        <v>90.77</v>
      </c>
      <c r="G271" s="39">
        <v>3189.0</v>
      </c>
      <c r="H271" s="37" t="s">
        <v>68</v>
      </c>
      <c r="I271" s="52" t="s">
        <v>50</v>
      </c>
      <c r="J271" s="37" t="str">
        <f t="shared" si="4"/>
        <v>No</v>
      </c>
      <c r="K271" s="35"/>
      <c r="L271" s="35"/>
      <c r="M271" s="35"/>
      <c r="N271" s="4"/>
      <c r="O271" s="4"/>
      <c r="P271" s="50"/>
      <c r="Q271" s="50"/>
      <c r="R271" s="50"/>
      <c r="S271" s="51"/>
      <c r="T271" s="4"/>
      <c r="U271" s="4"/>
    </row>
    <row r="272" ht="18.0" customHeight="1">
      <c r="A272" s="35"/>
      <c r="B272" s="37" t="s">
        <v>385</v>
      </c>
      <c r="C272" s="38">
        <v>44806.0</v>
      </c>
      <c r="D272" s="37">
        <v>93.0</v>
      </c>
      <c r="E272" s="37">
        <v>317.0</v>
      </c>
      <c r="F272" s="37">
        <v>238.29</v>
      </c>
      <c r="G272" s="39">
        <v>515.87</v>
      </c>
      <c r="H272" s="37" t="s">
        <v>71</v>
      </c>
      <c r="I272" s="52" t="s">
        <v>38</v>
      </c>
      <c r="J272" s="37" t="str">
        <f t="shared" si="4"/>
        <v>No</v>
      </c>
      <c r="K272" s="35"/>
      <c r="L272" s="35"/>
      <c r="M272" s="35"/>
      <c r="N272" s="4"/>
      <c r="O272" s="4"/>
      <c r="P272" s="50"/>
      <c r="Q272" s="50"/>
      <c r="R272" s="50"/>
      <c r="S272" s="51"/>
      <c r="T272" s="4"/>
      <c r="U272" s="4"/>
    </row>
    <row r="273" ht="18.0" customHeight="1">
      <c r="A273" s="35"/>
      <c r="B273" s="37" t="s">
        <v>386</v>
      </c>
      <c r="C273" s="38">
        <v>44573.0</v>
      </c>
      <c r="D273" s="37">
        <v>49.0</v>
      </c>
      <c r="E273" s="37">
        <v>566.0</v>
      </c>
      <c r="F273" s="37">
        <v>233.91</v>
      </c>
      <c r="G273" s="39">
        <v>1357.18</v>
      </c>
      <c r="H273" s="37" t="s">
        <v>387</v>
      </c>
      <c r="I273" s="52" t="s">
        <v>42</v>
      </c>
      <c r="J273" s="37" t="str">
        <f t="shared" si="4"/>
        <v>No</v>
      </c>
      <c r="K273" s="35"/>
      <c r="L273" s="35"/>
      <c r="M273" s="35"/>
      <c r="N273" s="4"/>
      <c r="O273" s="4"/>
      <c r="P273" s="50"/>
      <c r="Q273" s="50"/>
      <c r="R273" s="50"/>
      <c r="S273" s="51"/>
      <c r="T273" s="4"/>
      <c r="U273" s="4"/>
    </row>
    <row r="274" ht="18.0" customHeight="1">
      <c r="A274" s="35"/>
      <c r="B274" s="37" t="s">
        <v>388</v>
      </c>
      <c r="C274" s="38">
        <v>44609.0</v>
      </c>
      <c r="D274" s="37">
        <v>43.0</v>
      </c>
      <c r="E274" s="37">
        <v>453.0</v>
      </c>
      <c r="F274" s="37">
        <v>10.8</v>
      </c>
      <c r="G274" s="39">
        <v>7242.18</v>
      </c>
      <c r="H274" s="37" t="s">
        <v>389</v>
      </c>
      <c r="I274" s="52" t="s">
        <v>38</v>
      </c>
      <c r="J274" s="37" t="str">
        <f t="shared" si="4"/>
        <v>No</v>
      </c>
      <c r="K274" s="35"/>
      <c r="L274" s="35"/>
      <c r="M274" s="35"/>
      <c r="N274" s="4"/>
      <c r="O274" s="4"/>
      <c r="P274" s="50"/>
      <c r="Q274" s="50"/>
      <c r="R274" s="50"/>
      <c r="S274" s="51"/>
      <c r="T274" s="4"/>
      <c r="U274" s="4"/>
    </row>
    <row r="275" ht="18.0" customHeight="1">
      <c r="A275" s="35"/>
      <c r="B275" s="37" t="s">
        <v>390</v>
      </c>
      <c r="C275" s="38">
        <v>44795.0</v>
      </c>
      <c r="D275" s="37">
        <v>69.0</v>
      </c>
      <c r="E275" s="37">
        <v>252.0</v>
      </c>
      <c r="F275" s="37">
        <v>98.73</v>
      </c>
      <c r="G275" s="39">
        <v>5353.77</v>
      </c>
      <c r="H275" s="37" t="s">
        <v>391</v>
      </c>
      <c r="I275" s="52" t="s">
        <v>42</v>
      </c>
      <c r="J275" s="37" t="str">
        <f t="shared" si="4"/>
        <v>No</v>
      </c>
      <c r="K275" s="35"/>
      <c r="L275" s="35"/>
      <c r="M275" s="35"/>
      <c r="N275" s="4"/>
      <c r="O275" s="4"/>
      <c r="P275" s="50"/>
      <c r="Q275" s="50"/>
      <c r="R275" s="50"/>
      <c r="S275" s="51"/>
      <c r="T275" s="4"/>
      <c r="U275" s="4"/>
    </row>
    <row r="276" ht="18.0" customHeight="1">
      <c r="A276" s="35"/>
      <c r="B276" s="37" t="s">
        <v>392</v>
      </c>
      <c r="C276" s="38">
        <v>44722.0</v>
      </c>
      <c r="D276" s="37">
        <v>30.0</v>
      </c>
      <c r="E276" s="37">
        <v>696.0</v>
      </c>
      <c r="F276" s="37">
        <v>155.81</v>
      </c>
      <c r="G276" s="39">
        <v>1336.54</v>
      </c>
      <c r="H276" s="37" t="s">
        <v>393</v>
      </c>
      <c r="I276" s="52" t="s">
        <v>38</v>
      </c>
      <c r="J276" s="37" t="str">
        <f t="shared" si="4"/>
        <v>No</v>
      </c>
      <c r="K276" s="35"/>
      <c r="L276" s="35"/>
      <c r="M276" s="35"/>
      <c r="N276" s="4"/>
      <c r="O276" s="4"/>
      <c r="P276" s="50"/>
      <c r="Q276" s="50"/>
      <c r="R276" s="50"/>
      <c r="S276" s="51"/>
      <c r="T276" s="4"/>
      <c r="U276" s="4"/>
    </row>
    <row r="277" ht="18.0" customHeight="1">
      <c r="A277" s="35"/>
      <c r="B277" s="37" t="s">
        <v>394</v>
      </c>
      <c r="C277" s="38">
        <v>44586.0</v>
      </c>
      <c r="D277" s="37">
        <v>40.0</v>
      </c>
      <c r="E277" s="37">
        <v>575.0</v>
      </c>
      <c r="F277" s="37">
        <v>3.59</v>
      </c>
      <c r="G277" s="39">
        <v>2596.66</v>
      </c>
      <c r="H277" s="37" t="s">
        <v>87</v>
      </c>
      <c r="I277" s="52" t="s">
        <v>38</v>
      </c>
      <c r="J277" s="37" t="str">
        <f t="shared" si="4"/>
        <v>No</v>
      </c>
      <c r="K277" s="35"/>
      <c r="L277" s="35"/>
      <c r="M277" s="35"/>
      <c r="N277" s="4"/>
      <c r="O277" s="4"/>
      <c r="P277" s="50"/>
      <c r="Q277" s="50"/>
      <c r="R277" s="50"/>
      <c r="S277" s="51"/>
      <c r="T277" s="4"/>
      <c r="U277" s="4"/>
    </row>
    <row r="278" ht="18.0" customHeight="1">
      <c r="A278" s="35"/>
      <c r="B278" s="37" t="s">
        <v>395</v>
      </c>
      <c r="C278" s="38">
        <v>44791.0</v>
      </c>
      <c r="D278" s="37">
        <v>31.0</v>
      </c>
      <c r="E278" s="37">
        <v>469.0</v>
      </c>
      <c r="F278" s="37">
        <v>31.18</v>
      </c>
      <c r="G278" s="39">
        <v>1322.79</v>
      </c>
      <c r="H278" s="37" t="s">
        <v>37</v>
      </c>
      <c r="I278" s="52" t="s">
        <v>50</v>
      </c>
      <c r="J278" s="37" t="str">
        <f t="shared" si="4"/>
        <v>No</v>
      </c>
      <c r="K278" s="35"/>
      <c r="L278" s="35"/>
      <c r="M278" s="35"/>
      <c r="N278" s="4"/>
      <c r="O278" s="4"/>
      <c r="P278" s="50"/>
      <c r="Q278" s="50"/>
      <c r="R278" s="50"/>
      <c r="S278" s="51"/>
      <c r="T278" s="4"/>
      <c r="U278" s="4"/>
    </row>
    <row r="279" ht="18.0" customHeight="1">
      <c r="A279" s="35"/>
      <c r="B279" s="37" t="s">
        <v>396</v>
      </c>
      <c r="C279" s="38">
        <v>44919.0</v>
      </c>
      <c r="D279" s="37">
        <v>70.0</v>
      </c>
      <c r="E279" s="37">
        <v>873.0</v>
      </c>
      <c r="F279" s="37">
        <v>191.02</v>
      </c>
      <c r="G279" s="39">
        <v>2427.4</v>
      </c>
      <c r="H279" s="37" t="s">
        <v>41</v>
      </c>
      <c r="I279" s="52" t="s">
        <v>42</v>
      </c>
      <c r="J279" s="37" t="str">
        <f t="shared" si="4"/>
        <v>No</v>
      </c>
      <c r="K279" s="35"/>
      <c r="L279" s="35"/>
      <c r="M279" s="35"/>
      <c r="N279" s="4"/>
      <c r="O279" s="4"/>
      <c r="P279" s="50"/>
      <c r="Q279" s="50"/>
      <c r="R279" s="50"/>
      <c r="S279" s="51"/>
      <c r="T279" s="4"/>
      <c r="U279" s="4"/>
    </row>
    <row r="280" ht="18.0" customHeight="1">
      <c r="A280" s="35"/>
      <c r="B280" s="37" t="s">
        <v>397</v>
      </c>
      <c r="C280" s="38">
        <v>44727.0</v>
      </c>
      <c r="D280" s="37">
        <v>16.0</v>
      </c>
      <c r="E280" s="37">
        <v>702.0</v>
      </c>
      <c r="F280" s="37">
        <v>233.17</v>
      </c>
      <c r="G280" s="39">
        <v>709.94</v>
      </c>
      <c r="H280" s="37" t="s">
        <v>45</v>
      </c>
      <c r="I280" s="52" t="s">
        <v>50</v>
      </c>
      <c r="J280" s="37" t="str">
        <f t="shared" si="4"/>
        <v>No</v>
      </c>
      <c r="K280" s="35"/>
      <c r="L280" s="35"/>
      <c r="M280" s="35"/>
      <c r="N280" s="4"/>
      <c r="O280" s="4"/>
      <c r="P280" s="50"/>
      <c r="Q280" s="50"/>
      <c r="R280" s="50"/>
      <c r="S280" s="51"/>
      <c r="T280" s="4"/>
      <c r="U280" s="4"/>
    </row>
    <row r="281" ht="18.0" customHeight="1">
      <c r="A281" s="35"/>
      <c r="B281" s="37" t="s">
        <v>398</v>
      </c>
      <c r="C281" s="38">
        <v>44595.0</v>
      </c>
      <c r="D281" s="37">
        <v>9.0</v>
      </c>
      <c r="E281" s="37">
        <v>315.0</v>
      </c>
      <c r="F281" s="37">
        <v>221.14</v>
      </c>
      <c r="G281" s="39">
        <v>9587.16</v>
      </c>
      <c r="H281" s="37" t="s">
        <v>49</v>
      </c>
      <c r="I281" s="52" t="s">
        <v>50</v>
      </c>
      <c r="J281" s="37" t="str">
        <f t="shared" si="4"/>
        <v>No</v>
      </c>
      <c r="K281" s="35"/>
      <c r="L281" s="35"/>
      <c r="M281" s="35"/>
      <c r="N281" s="4"/>
      <c r="O281" s="4"/>
      <c r="P281" s="50"/>
      <c r="Q281" s="50"/>
      <c r="R281" s="50"/>
      <c r="S281" s="51"/>
      <c r="T281" s="4"/>
      <c r="U281" s="4"/>
    </row>
    <row r="282" ht="18.0" customHeight="1">
      <c r="A282" s="35"/>
      <c r="B282" s="37" t="s">
        <v>399</v>
      </c>
      <c r="C282" s="38">
        <v>44791.0</v>
      </c>
      <c r="D282" s="37">
        <v>87.0</v>
      </c>
      <c r="E282" s="37">
        <v>953.0</v>
      </c>
      <c r="F282" s="37">
        <v>154.72</v>
      </c>
      <c r="G282" s="39">
        <v>6986.31</v>
      </c>
      <c r="H282" s="37" t="s">
        <v>53</v>
      </c>
      <c r="I282" s="52" t="s">
        <v>38</v>
      </c>
      <c r="J282" s="37" t="str">
        <f t="shared" si="4"/>
        <v>No</v>
      </c>
      <c r="K282" s="35"/>
      <c r="L282" s="35"/>
      <c r="M282" s="35"/>
      <c r="N282" s="4"/>
      <c r="O282" s="4"/>
      <c r="P282" s="50"/>
      <c r="Q282" s="50"/>
      <c r="R282" s="50"/>
      <c r="S282" s="51"/>
      <c r="T282" s="4"/>
      <c r="U282" s="4"/>
    </row>
    <row r="283" ht="18.0" customHeight="1">
      <c r="A283" s="35"/>
      <c r="B283" s="37" t="s">
        <v>400</v>
      </c>
      <c r="C283" s="38">
        <v>44743.0</v>
      </c>
      <c r="D283" s="37">
        <v>17.0</v>
      </c>
      <c r="E283" s="37">
        <v>430.0</v>
      </c>
      <c r="F283" s="37">
        <v>116.06</v>
      </c>
      <c r="G283" s="39">
        <v>8800.98</v>
      </c>
      <c r="H283" s="37" t="s">
        <v>56</v>
      </c>
      <c r="I283" s="52" t="s">
        <v>50</v>
      </c>
      <c r="J283" s="37" t="str">
        <f t="shared" si="4"/>
        <v>No</v>
      </c>
      <c r="K283" s="35"/>
      <c r="L283" s="35"/>
      <c r="M283" s="35"/>
      <c r="N283" s="4"/>
      <c r="O283" s="4"/>
      <c r="P283" s="50"/>
      <c r="Q283" s="50"/>
      <c r="R283" s="50"/>
      <c r="S283" s="51"/>
      <c r="T283" s="4"/>
      <c r="U283" s="4"/>
    </row>
    <row r="284" ht="18.0" customHeight="1">
      <c r="A284" s="35"/>
      <c r="B284" s="37" t="s">
        <v>401</v>
      </c>
      <c r="C284" s="38">
        <v>44633.0</v>
      </c>
      <c r="D284" s="37">
        <v>44.0</v>
      </c>
      <c r="E284" s="37">
        <v>771.0</v>
      </c>
      <c r="F284" s="37">
        <v>132.2</v>
      </c>
      <c r="G284" s="39">
        <v>2733.85</v>
      </c>
      <c r="H284" s="37" t="s">
        <v>59</v>
      </c>
      <c r="I284" s="52" t="s">
        <v>50</v>
      </c>
      <c r="J284" s="37" t="str">
        <f t="shared" si="4"/>
        <v>No</v>
      </c>
      <c r="K284" s="35"/>
      <c r="L284" s="35"/>
      <c r="M284" s="35"/>
      <c r="N284" s="4"/>
      <c r="O284" s="4"/>
      <c r="P284" s="50"/>
      <c r="Q284" s="50"/>
      <c r="R284" s="50"/>
      <c r="S284" s="51"/>
      <c r="T284" s="4"/>
      <c r="U284" s="4"/>
    </row>
    <row r="285" ht="18.0" customHeight="1">
      <c r="A285" s="35"/>
      <c r="B285" s="37" t="s">
        <v>402</v>
      </c>
      <c r="C285" s="38">
        <v>44584.0</v>
      </c>
      <c r="D285" s="37">
        <v>78.0</v>
      </c>
      <c r="E285" s="37">
        <v>540.0</v>
      </c>
      <c r="F285" s="37">
        <v>12.62</v>
      </c>
      <c r="G285" s="39">
        <v>3252.79</v>
      </c>
      <c r="H285" s="37" t="s">
        <v>61</v>
      </c>
      <c r="I285" s="52" t="s">
        <v>50</v>
      </c>
      <c r="J285" s="37" t="str">
        <f t="shared" si="4"/>
        <v>No</v>
      </c>
      <c r="K285" s="35"/>
      <c r="L285" s="35"/>
      <c r="M285" s="35"/>
      <c r="N285" s="4"/>
      <c r="O285" s="4"/>
      <c r="P285" s="50"/>
      <c r="Q285" s="50"/>
      <c r="R285" s="50"/>
      <c r="S285" s="51"/>
      <c r="T285" s="4"/>
      <c r="U285" s="4"/>
    </row>
    <row r="286" ht="18.0" customHeight="1">
      <c r="A286" s="35"/>
      <c r="B286" s="37" t="s">
        <v>403</v>
      </c>
      <c r="C286" s="38">
        <v>44768.0</v>
      </c>
      <c r="D286" s="37">
        <v>57.0</v>
      </c>
      <c r="E286" s="37">
        <v>526.0</v>
      </c>
      <c r="F286" s="37">
        <v>103.67</v>
      </c>
      <c r="G286" s="39">
        <v>2001.84</v>
      </c>
      <c r="H286" s="37" t="s">
        <v>63</v>
      </c>
      <c r="I286" s="52" t="s">
        <v>38</v>
      </c>
      <c r="J286" s="37" t="str">
        <f t="shared" si="4"/>
        <v>No</v>
      </c>
      <c r="K286" s="35"/>
      <c r="L286" s="35"/>
      <c r="M286" s="35"/>
      <c r="N286" s="4"/>
      <c r="O286" s="4"/>
      <c r="P286" s="50"/>
      <c r="Q286" s="50"/>
      <c r="R286" s="50"/>
      <c r="S286" s="51"/>
      <c r="T286" s="4"/>
      <c r="U286" s="4"/>
    </row>
    <row r="287" ht="18.0" customHeight="1">
      <c r="A287" s="35"/>
      <c r="B287" s="37" t="s">
        <v>404</v>
      </c>
      <c r="C287" s="38">
        <v>44871.0</v>
      </c>
      <c r="D287" s="37">
        <v>97.0</v>
      </c>
      <c r="E287" s="37">
        <v>555.0</v>
      </c>
      <c r="F287" s="37">
        <v>109.88</v>
      </c>
      <c r="G287" s="39">
        <v>8633.71</v>
      </c>
      <c r="H287" s="37" t="s">
        <v>66</v>
      </c>
      <c r="I287" s="52" t="s">
        <v>50</v>
      </c>
      <c r="J287" s="37" t="str">
        <f t="shared" si="4"/>
        <v>No</v>
      </c>
      <c r="K287" s="35"/>
      <c r="L287" s="35"/>
      <c r="M287" s="35"/>
      <c r="N287" s="4"/>
      <c r="O287" s="4"/>
      <c r="P287" s="50"/>
      <c r="Q287" s="50"/>
      <c r="R287" s="50"/>
      <c r="S287" s="51"/>
      <c r="T287" s="4"/>
      <c r="U287" s="4"/>
    </row>
    <row r="288" ht="18.0" customHeight="1">
      <c r="A288" s="35"/>
      <c r="B288" s="37" t="s">
        <v>94</v>
      </c>
      <c r="C288" s="38">
        <v>44638.0</v>
      </c>
      <c r="D288" s="37">
        <v>66.0</v>
      </c>
      <c r="E288" s="37">
        <v>811.0</v>
      </c>
      <c r="F288" s="37">
        <v>113.81</v>
      </c>
      <c r="G288" s="39">
        <v>7181.23</v>
      </c>
      <c r="H288" s="37" t="s">
        <v>68</v>
      </c>
      <c r="I288" s="52" t="s">
        <v>50</v>
      </c>
      <c r="J288" s="37" t="str">
        <f t="shared" si="4"/>
        <v>No</v>
      </c>
      <c r="K288" s="35"/>
      <c r="L288" s="35"/>
      <c r="M288" s="35"/>
      <c r="N288" s="4"/>
      <c r="O288" s="4"/>
      <c r="P288" s="50"/>
      <c r="Q288" s="50"/>
      <c r="R288" s="50"/>
      <c r="S288" s="51"/>
      <c r="T288" s="4"/>
      <c r="U288" s="4"/>
    </row>
    <row r="289" ht="18.0" customHeight="1">
      <c r="A289" s="35"/>
      <c r="B289" s="37" t="s">
        <v>96</v>
      </c>
      <c r="C289" s="38">
        <v>44737.0</v>
      </c>
      <c r="D289" s="37">
        <v>92.0</v>
      </c>
      <c r="E289" s="37">
        <v>167.0</v>
      </c>
      <c r="F289" s="37">
        <v>48.98</v>
      </c>
      <c r="G289" s="39">
        <v>4545.54</v>
      </c>
      <c r="H289" s="37" t="s">
        <v>71</v>
      </c>
      <c r="I289" s="52" t="s">
        <v>42</v>
      </c>
      <c r="J289" s="37" t="str">
        <f t="shared" si="4"/>
        <v>No</v>
      </c>
      <c r="K289" s="35"/>
      <c r="L289" s="35"/>
      <c r="M289" s="35"/>
      <c r="N289" s="4"/>
      <c r="O289" s="4"/>
      <c r="P289" s="50"/>
      <c r="Q289" s="50"/>
      <c r="R289" s="50"/>
      <c r="S289" s="51"/>
      <c r="T289" s="4"/>
      <c r="U289" s="4"/>
    </row>
    <row r="290" ht="18.0" customHeight="1">
      <c r="A290" s="35"/>
      <c r="B290" s="37" t="s">
        <v>98</v>
      </c>
      <c r="C290" s="38">
        <v>44676.0</v>
      </c>
      <c r="D290" s="37">
        <v>79.0</v>
      </c>
      <c r="E290" s="37">
        <v>725.0</v>
      </c>
      <c r="F290" s="37">
        <v>56.09</v>
      </c>
      <c r="G290" s="39">
        <v>8416.79</v>
      </c>
      <c r="H290" s="37" t="s">
        <v>87</v>
      </c>
      <c r="I290" s="52" t="s">
        <v>42</v>
      </c>
      <c r="J290" s="37" t="str">
        <f t="shared" si="4"/>
        <v>No</v>
      </c>
      <c r="K290" s="35"/>
      <c r="L290" s="35"/>
      <c r="M290" s="35"/>
      <c r="N290" s="4"/>
      <c r="O290" s="4"/>
      <c r="P290" s="50"/>
      <c r="Q290" s="50"/>
      <c r="R290" s="50"/>
      <c r="S290" s="51"/>
      <c r="T290" s="4"/>
      <c r="U290" s="4"/>
    </row>
    <row r="291" ht="18.0" customHeight="1">
      <c r="A291" s="35"/>
      <c r="B291" s="37" t="s">
        <v>100</v>
      </c>
      <c r="C291" s="38">
        <v>44828.0</v>
      </c>
      <c r="D291" s="37">
        <v>64.0</v>
      </c>
      <c r="E291" s="37">
        <v>494.0</v>
      </c>
      <c r="F291" s="37">
        <v>61.66</v>
      </c>
      <c r="G291" s="39">
        <v>6938.79</v>
      </c>
      <c r="H291" s="37" t="s">
        <v>37</v>
      </c>
      <c r="I291" s="52" t="s">
        <v>50</v>
      </c>
      <c r="J291" s="37" t="str">
        <f t="shared" si="4"/>
        <v>No</v>
      </c>
      <c r="K291" s="35"/>
      <c r="L291" s="35"/>
      <c r="M291" s="35"/>
      <c r="N291" s="4"/>
      <c r="O291" s="4"/>
      <c r="P291" s="50"/>
      <c r="Q291" s="50"/>
      <c r="R291" s="50"/>
      <c r="S291" s="51"/>
      <c r="T291" s="4"/>
      <c r="U291" s="4"/>
    </row>
    <row r="292" ht="18.0" customHeight="1">
      <c r="A292" s="35"/>
      <c r="B292" s="37" t="s">
        <v>405</v>
      </c>
      <c r="C292" s="38">
        <v>44687.0</v>
      </c>
      <c r="D292" s="37">
        <v>25.0</v>
      </c>
      <c r="E292" s="37">
        <v>562.0</v>
      </c>
      <c r="F292" s="37">
        <v>205.01</v>
      </c>
      <c r="G292" s="39">
        <v>1395.78</v>
      </c>
      <c r="H292" s="37" t="s">
        <v>41</v>
      </c>
      <c r="I292" s="52" t="s">
        <v>38</v>
      </c>
      <c r="J292" s="37" t="str">
        <f t="shared" si="4"/>
        <v>No</v>
      </c>
      <c r="K292" s="35"/>
      <c r="L292" s="35"/>
      <c r="M292" s="35"/>
      <c r="N292" s="4"/>
      <c r="O292" s="4"/>
      <c r="P292" s="50"/>
      <c r="Q292" s="50"/>
      <c r="R292" s="50"/>
      <c r="S292" s="51"/>
      <c r="T292" s="4"/>
      <c r="U292" s="4"/>
    </row>
    <row r="293" ht="18.0" customHeight="1">
      <c r="A293" s="35"/>
      <c r="B293" s="37" t="s">
        <v>406</v>
      </c>
      <c r="C293" s="38">
        <v>44594.0</v>
      </c>
      <c r="D293" s="37">
        <v>52.0</v>
      </c>
      <c r="E293" s="37">
        <v>909.0</v>
      </c>
      <c r="F293" s="37">
        <v>96.15</v>
      </c>
      <c r="G293" s="39">
        <v>3578.61</v>
      </c>
      <c r="H293" s="37" t="s">
        <v>45</v>
      </c>
      <c r="I293" s="52" t="s">
        <v>38</v>
      </c>
      <c r="J293" s="37" t="str">
        <f t="shared" si="4"/>
        <v>No</v>
      </c>
      <c r="K293" s="35"/>
      <c r="L293" s="35"/>
      <c r="M293" s="35"/>
      <c r="N293" s="4"/>
      <c r="O293" s="4"/>
      <c r="P293" s="50"/>
      <c r="Q293" s="50"/>
      <c r="R293" s="50"/>
      <c r="S293" s="51"/>
      <c r="T293" s="4"/>
      <c r="U293" s="4"/>
    </row>
    <row r="294" ht="18.0" customHeight="1">
      <c r="A294" s="35"/>
      <c r="B294" s="37" t="s">
        <v>407</v>
      </c>
      <c r="C294" s="38">
        <v>44608.0</v>
      </c>
      <c r="D294" s="37">
        <v>15.0</v>
      </c>
      <c r="E294" s="37">
        <v>581.0</v>
      </c>
      <c r="F294" s="37">
        <v>54.89</v>
      </c>
      <c r="G294" s="39">
        <v>6129.38</v>
      </c>
      <c r="H294" s="37" t="s">
        <v>49</v>
      </c>
      <c r="I294" s="52" t="s">
        <v>38</v>
      </c>
      <c r="J294" s="37" t="str">
        <f t="shared" si="4"/>
        <v>No</v>
      </c>
      <c r="K294" s="35"/>
      <c r="L294" s="35"/>
      <c r="M294" s="35"/>
      <c r="N294" s="4"/>
      <c r="O294" s="4"/>
      <c r="P294" s="50"/>
      <c r="Q294" s="50"/>
      <c r="R294" s="50"/>
      <c r="S294" s="51"/>
      <c r="T294" s="4"/>
      <c r="U294" s="4"/>
    </row>
    <row r="295" ht="18.0" customHeight="1">
      <c r="A295" s="35"/>
      <c r="B295" s="37" t="s">
        <v>408</v>
      </c>
      <c r="C295" s="38">
        <v>44629.0</v>
      </c>
      <c r="D295" s="37">
        <v>34.0</v>
      </c>
      <c r="E295" s="37">
        <v>461.0</v>
      </c>
      <c r="F295" s="37">
        <v>172.87</v>
      </c>
      <c r="G295" s="39">
        <v>7306.69</v>
      </c>
      <c r="H295" s="37" t="s">
        <v>53</v>
      </c>
      <c r="I295" s="52" t="s">
        <v>50</v>
      </c>
      <c r="J295" s="37" t="str">
        <f t="shared" si="4"/>
        <v>No</v>
      </c>
      <c r="K295" s="35"/>
      <c r="L295" s="35"/>
      <c r="M295" s="35"/>
      <c r="N295" s="4"/>
      <c r="O295" s="4"/>
      <c r="P295" s="50"/>
      <c r="Q295" s="50"/>
      <c r="R295" s="50"/>
      <c r="S295" s="51"/>
      <c r="T295" s="4"/>
      <c r="U295" s="4"/>
    </row>
    <row r="296" ht="18.0" customHeight="1">
      <c r="A296" s="35"/>
      <c r="B296" s="37" t="s">
        <v>409</v>
      </c>
      <c r="C296" s="38">
        <v>44667.0</v>
      </c>
      <c r="D296" s="37">
        <v>26.0</v>
      </c>
      <c r="E296" s="37">
        <v>852.0</v>
      </c>
      <c r="F296" s="37">
        <v>81.84</v>
      </c>
      <c r="G296" s="39">
        <v>632.3</v>
      </c>
      <c r="H296" s="37" t="s">
        <v>56</v>
      </c>
      <c r="I296" s="52" t="s">
        <v>42</v>
      </c>
      <c r="J296" s="37" t="str">
        <f t="shared" si="4"/>
        <v>No</v>
      </c>
      <c r="K296" s="35"/>
      <c r="L296" s="35"/>
      <c r="M296" s="35"/>
      <c r="N296" s="4"/>
      <c r="O296" s="4"/>
      <c r="P296" s="50"/>
      <c r="Q296" s="50"/>
      <c r="R296" s="50"/>
      <c r="S296" s="51"/>
      <c r="T296" s="4"/>
      <c r="U296" s="4"/>
    </row>
    <row r="297" ht="18.0" customHeight="1">
      <c r="A297" s="35"/>
      <c r="B297" s="37" t="s">
        <v>410</v>
      </c>
      <c r="C297" s="38">
        <v>44694.0</v>
      </c>
      <c r="D297" s="37">
        <v>25.0</v>
      </c>
      <c r="E297" s="37">
        <v>321.0</v>
      </c>
      <c r="F297" s="37">
        <v>22.49</v>
      </c>
      <c r="G297" s="39">
        <v>5232.56</v>
      </c>
      <c r="H297" s="37" t="s">
        <v>59</v>
      </c>
      <c r="I297" s="52" t="s">
        <v>42</v>
      </c>
      <c r="J297" s="37" t="str">
        <f t="shared" si="4"/>
        <v>No</v>
      </c>
      <c r="K297" s="35"/>
      <c r="L297" s="35"/>
      <c r="M297" s="35"/>
      <c r="N297" s="4"/>
      <c r="O297" s="4"/>
      <c r="P297" s="50"/>
      <c r="Q297" s="50"/>
      <c r="R297" s="50"/>
      <c r="S297" s="51"/>
      <c r="T297" s="4"/>
      <c r="U297" s="4"/>
    </row>
    <row r="298" ht="18.0" customHeight="1">
      <c r="A298" s="35"/>
      <c r="B298" s="37" t="s">
        <v>411</v>
      </c>
      <c r="C298" s="38">
        <v>44887.0</v>
      </c>
      <c r="D298" s="37">
        <v>48.0</v>
      </c>
      <c r="E298" s="37">
        <v>687.0</v>
      </c>
      <c r="F298" s="37">
        <v>86.87</v>
      </c>
      <c r="G298" s="39">
        <v>1114.68</v>
      </c>
      <c r="H298" s="37" t="s">
        <v>61</v>
      </c>
      <c r="I298" s="52" t="s">
        <v>42</v>
      </c>
      <c r="J298" s="37" t="str">
        <f t="shared" si="4"/>
        <v>No</v>
      </c>
      <c r="K298" s="35"/>
      <c r="L298" s="35"/>
      <c r="M298" s="35"/>
      <c r="N298" s="4"/>
      <c r="O298" s="4"/>
      <c r="P298" s="50"/>
      <c r="Q298" s="50"/>
      <c r="R298" s="50"/>
      <c r="S298" s="51"/>
      <c r="T298" s="4"/>
      <c r="U298" s="4"/>
    </row>
    <row r="299" ht="18.0" customHeight="1">
      <c r="A299" s="35"/>
      <c r="B299" s="37" t="s">
        <v>36</v>
      </c>
      <c r="C299" s="38">
        <v>44580.0</v>
      </c>
      <c r="D299" s="37">
        <v>5.0</v>
      </c>
      <c r="E299" s="37">
        <v>819.0</v>
      </c>
      <c r="F299" s="37">
        <v>21.32</v>
      </c>
      <c r="G299" s="39">
        <v>2084.07</v>
      </c>
      <c r="H299" s="37" t="s">
        <v>63</v>
      </c>
      <c r="I299" s="52" t="s">
        <v>42</v>
      </c>
      <c r="J299" s="37" t="str">
        <f t="shared" si="4"/>
        <v>No</v>
      </c>
      <c r="K299" s="35"/>
      <c r="L299" s="35"/>
      <c r="M299" s="35"/>
      <c r="N299" s="4"/>
      <c r="O299" s="4"/>
      <c r="P299" s="50"/>
      <c r="Q299" s="50"/>
      <c r="R299" s="50"/>
      <c r="S299" s="51"/>
      <c r="T299" s="4"/>
      <c r="U299" s="4"/>
    </row>
    <row r="300" ht="18.0" customHeight="1">
      <c r="A300" s="35"/>
      <c r="B300" s="37" t="s">
        <v>412</v>
      </c>
      <c r="C300" s="38">
        <v>44701.0</v>
      </c>
      <c r="D300" s="37">
        <v>54.0</v>
      </c>
      <c r="E300" s="37">
        <v>317.0</v>
      </c>
      <c r="F300" s="37">
        <v>186.87</v>
      </c>
      <c r="G300" s="39">
        <v>5821.47</v>
      </c>
      <c r="H300" s="37" t="s">
        <v>66</v>
      </c>
      <c r="I300" s="52" t="s">
        <v>42</v>
      </c>
      <c r="J300" s="37" t="str">
        <f t="shared" si="4"/>
        <v>No</v>
      </c>
      <c r="K300" s="35"/>
      <c r="L300" s="35"/>
      <c r="M300" s="35"/>
      <c r="N300" s="4"/>
      <c r="O300" s="4"/>
      <c r="P300" s="50"/>
      <c r="Q300" s="50"/>
      <c r="R300" s="50"/>
      <c r="S300" s="51"/>
      <c r="T300" s="4"/>
      <c r="U300" s="4"/>
    </row>
    <row r="301" ht="18.0" customHeight="1">
      <c r="A301" s="35"/>
      <c r="B301" s="37" t="s">
        <v>413</v>
      </c>
      <c r="C301" s="38">
        <v>44625.0</v>
      </c>
      <c r="D301" s="37">
        <v>41.0</v>
      </c>
      <c r="E301" s="37">
        <v>84.0</v>
      </c>
      <c r="F301" s="37">
        <v>137.54</v>
      </c>
      <c r="G301" s="39">
        <v>9268.62</v>
      </c>
      <c r="H301" s="37" t="s">
        <v>68</v>
      </c>
      <c r="I301" s="52" t="s">
        <v>38</v>
      </c>
      <c r="J301" s="37" t="str">
        <f t="shared" si="4"/>
        <v>No</v>
      </c>
      <c r="K301" s="35"/>
      <c r="L301" s="35"/>
      <c r="M301" s="35"/>
      <c r="N301" s="4"/>
      <c r="O301" s="4"/>
      <c r="P301" s="50"/>
      <c r="Q301" s="50"/>
      <c r="R301" s="50"/>
      <c r="S301" s="51"/>
      <c r="T301" s="4"/>
      <c r="U301" s="4"/>
    </row>
    <row r="302" ht="18.0" customHeight="1">
      <c r="A302" s="35"/>
      <c r="B302" s="37" t="s">
        <v>102</v>
      </c>
      <c r="C302" s="38">
        <v>44783.0</v>
      </c>
      <c r="D302" s="37">
        <v>64.0</v>
      </c>
      <c r="E302" s="37">
        <v>122.0</v>
      </c>
      <c r="F302" s="37">
        <v>238.21</v>
      </c>
      <c r="G302" s="39">
        <v>2079.08</v>
      </c>
      <c r="H302" s="37" t="s">
        <v>71</v>
      </c>
      <c r="I302" s="52" t="s">
        <v>38</v>
      </c>
      <c r="J302" s="37" t="str">
        <f t="shared" si="4"/>
        <v>No</v>
      </c>
      <c r="K302" s="35"/>
      <c r="L302" s="35"/>
      <c r="M302" s="35"/>
      <c r="N302" s="4"/>
      <c r="O302" s="4"/>
      <c r="P302" s="50"/>
      <c r="Q302" s="50"/>
      <c r="R302" s="50"/>
      <c r="S302" s="51"/>
      <c r="T302" s="4"/>
      <c r="U302" s="4"/>
    </row>
    <row r="303" ht="18.0" customHeight="1">
      <c r="A303" s="35"/>
      <c r="B303" s="37" t="s">
        <v>104</v>
      </c>
      <c r="C303" s="38">
        <v>44749.0</v>
      </c>
      <c r="D303" s="37">
        <v>36.0</v>
      </c>
      <c r="E303" s="37">
        <v>631.0</v>
      </c>
      <c r="F303" s="37">
        <v>16.24</v>
      </c>
      <c r="G303" s="39">
        <v>3102.26</v>
      </c>
      <c r="H303" s="37" t="s">
        <v>414</v>
      </c>
      <c r="I303" s="52" t="s">
        <v>38</v>
      </c>
      <c r="J303" s="37" t="str">
        <f t="shared" si="4"/>
        <v>No</v>
      </c>
      <c r="K303" s="35"/>
      <c r="L303" s="35"/>
      <c r="M303" s="35"/>
      <c r="N303" s="4"/>
      <c r="O303" s="4"/>
      <c r="P303" s="50"/>
      <c r="Q303" s="50"/>
      <c r="R303" s="50"/>
      <c r="S303" s="51"/>
      <c r="T303" s="4"/>
      <c r="U303" s="4"/>
    </row>
    <row r="304" ht="18.0" customHeight="1">
      <c r="A304" s="35"/>
      <c r="B304" s="37" t="s">
        <v>106</v>
      </c>
      <c r="C304" s="38">
        <v>44903.0</v>
      </c>
      <c r="D304" s="37">
        <v>32.0</v>
      </c>
      <c r="E304" s="37">
        <v>399.0</v>
      </c>
      <c r="F304" s="37">
        <v>130.23</v>
      </c>
      <c r="G304" s="39">
        <v>1749.11</v>
      </c>
      <c r="H304" s="37" t="s">
        <v>87</v>
      </c>
      <c r="I304" s="52" t="s">
        <v>50</v>
      </c>
      <c r="J304" s="37" t="str">
        <f t="shared" si="4"/>
        <v>No</v>
      </c>
      <c r="K304" s="35"/>
      <c r="L304" s="35"/>
      <c r="M304" s="35"/>
      <c r="N304" s="4"/>
      <c r="O304" s="4"/>
      <c r="P304" s="50"/>
      <c r="Q304" s="50"/>
      <c r="R304" s="50"/>
      <c r="S304" s="51"/>
      <c r="T304" s="4"/>
      <c r="U304" s="4"/>
    </row>
    <row r="305" ht="18.0" customHeight="1">
      <c r="A305" s="35"/>
      <c r="B305" s="37" t="s">
        <v>415</v>
      </c>
      <c r="C305" s="38">
        <v>44772.0</v>
      </c>
      <c r="D305" s="37">
        <v>34.0</v>
      </c>
      <c r="E305" s="37">
        <v>946.0</v>
      </c>
      <c r="F305" s="37">
        <v>167.28</v>
      </c>
      <c r="G305" s="39">
        <v>2925.01</v>
      </c>
      <c r="H305" s="37" t="s">
        <v>37</v>
      </c>
      <c r="I305" s="52" t="s">
        <v>42</v>
      </c>
      <c r="J305" s="37" t="str">
        <f t="shared" si="4"/>
        <v>No</v>
      </c>
      <c r="K305" s="35"/>
      <c r="L305" s="35"/>
      <c r="M305" s="35"/>
      <c r="N305" s="4"/>
      <c r="O305" s="4"/>
      <c r="P305" s="50"/>
      <c r="Q305" s="50"/>
      <c r="R305" s="50"/>
      <c r="S305" s="51"/>
      <c r="T305" s="4"/>
      <c r="U305" s="4"/>
    </row>
    <row r="306" ht="18.0" customHeight="1">
      <c r="A306" s="35"/>
      <c r="B306" s="37" t="s">
        <v>40</v>
      </c>
      <c r="C306" s="38">
        <v>44812.0</v>
      </c>
      <c r="D306" s="37">
        <v>43.0</v>
      </c>
      <c r="E306" s="37">
        <v>483.0</v>
      </c>
      <c r="F306" s="37">
        <v>242.53</v>
      </c>
      <c r="G306" s="39">
        <v>9822.73</v>
      </c>
      <c r="H306" s="37" t="s">
        <v>41</v>
      </c>
      <c r="I306" s="52" t="s">
        <v>42</v>
      </c>
      <c r="J306" s="37" t="str">
        <f t="shared" si="4"/>
        <v>No</v>
      </c>
      <c r="K306" s="35"/>
      <c r="L306" s="35"/>
      <c r="M306" s="35"/>
      <c r="N306" s="4"/>
      <c r="O306" s="4"/>
      <c r="P306" s="50"/>
      <c r="Q306" s="50"/>
      <c r="R306" s="50"/>
      <c r="S306" s="51"/>
      <c r="T306" s="4"/>
      <c r="U306" s="4"/>
    </row>
    <row r="307" ht="18.0" customHeight="1">
      <c r="A307" s="35"/>
      <c r="B307" s="37" t="s">
        <v>416</v>
      </c>
      <c r="C307" s="38">
        <v>44792.0</v>
      </c>
      <c r="D307" s="37">
        <v>75.0</v>
      </c>
      <c r="E307" s="37">
        <v>99.0</v>
      </c>
      <c r="F307" s="37">
        <v>148.69</v>
      </c>
      <c r="G307" s="39">
        <v>5297.23</v>
      </c>
      <c r="H307" s="37" t="s">
        <v>45</v>
      </c>
      <c r="I307" s="52" t="s">
        <v>38</v>
      </c>
      <c r="J307" s="37" t="str">
        <f t="shared" si="4"/>
        <v>No</v>
      </c>
      <c r="K307" s="35"/>
      <c r="L307" s="35"/>
      <c r="M307" s="35"/>
      <c r="N307" s="4"/>
      <c r="O307" s="4"/>
      <c r="P307" s="50"/>
      <c r="Q307" s="50"/>
      <c r="R307" s="50"/>
      <c r="S307" s="51"/>
      <c r="T307" s="4"/>
      <c r="U307" s="4"/>
    </row>
    <row r="308" ht="18.0" customHeight="1">
      <c r="A308" s="35"/>
      <c r="B308" s="37" t="s">
        <v>417</v>
      </c>
      <c r="C308" s="38">
        <v>44910.0</v>
      </c>
      <c r="D308" s="37">
        <v>62.0</v>
      </c>
      <c r="E308" s="37">
        <v>32.0</v>
      </c>
      <c r="F308" s="37">
        <v>217.87</v>
      </c>
      <c r="G308" s="39">
        <v>9034.1</v>
      </c>
      <c r="H308" s="37" t="s">
        <v>49</v>
      </c>
      <c r="I308" s="52" t="s">
        <v>38</v>
      </c>
      <c r="J308" s="37" t="str">
        <f t="shared" si="4"/>
        <v>No</v>
      </c>
      <c r="K308" s="35"/>
      <c r="L308" s="35"/>
      <c r="M308" s="35"/>
      <c r="N308" s="4"/>
      <c r="O308" s="4"/>
      <c r="P308" s="50"/>
      <c r="Q308" s="50"/>
      <c r="R308" s="50"/>
      <c r="S308" s="51"/>
      <c r="T308" s="4"/>
      <c r="U308" s="4"/>
    </row>
    <row r="309" ht="18.0" customHeight="1">
      <c r="A309" s="35"/>
      <c r="B309" s="37" t="s">
        <v>418</v>
      </c>
      <c r="C309" s="38">
        <v>44905.0</v>
      </c>
      <c r="D309" s="37">
        <v>7.0</v>
      </c>
      <c r="E309" s="37">
        <v>862.0</v>
      </c>
      <c r="F309" s="37">
        <v>221.68</v>
      </c>
      <c r="G309" s="39">
        <v>2936.92</v>
      </c>
      <c r="H309" s="37" t="s">
        <v>53</v>
      </c>
      <c r="I309" s="52" t="s">
        <v>42</v>
      </c>
      <c r="J309" s="37" t="str">
        <f t="shared" si="4"/>
        <v>Yes</v>
      </c>
      <c r="K309" s="35"/>
      <c r="L309" s="35"/>
      <c r="M309" s="35"/>
      <c r="N309" s="4"/>
      <c r="O309" s="4"/>
      <c r="P309" s="50"/>
      <c r="Q309" s="50"/>
      <c r="R309" s="50"/>
      <c r="S309" s="51"/>
      <c r="T309" s="4"/>
      <c r="U309" s="4"/>
    </row>
    <row r="310" ht="18.0" customHeight="1">
      <c r="A310" s="35"/>
      <c r="B310" s="37" t="s">
        <v>419</v>
      </c>
      <c r="C310" s="38">
        <v>44910.0</v>
      </c>
      <c r="D310" s="37">
        <v>54.0</v>
      </c>
      <c r="E310" s="37">
        <v>22.0</v>
      </c>
      <c r="F310" s="37">
        <v>148.93</v>
      </c>
      <c r="G310" s="39">
        <v>5849.39</v>
      </c>
      <c r="H310" s="37" t="s">
        <v>56</v>
      </c>
      <c r="I310" s="52" t="s">
        <v>42</v>
      </c>
      <c r="J310" s="37" t="str">
        <f t="shared" si="4"/>
        <v>No</v>
      </c>
      <c r="K310" s="35"/>
      <c r="L310" s="35"/>
      <c r="M310" s="35"/>
      <c r="N310" s="4"/>
      <c r="O310" s="4"/>
      <c r="P310" s="50"/>
      <c r="Q310" s="50"/>
      <c r="R310" s="50"/>
      <c r="S310" s="51"/>
      <c r="T310" s="4"/>
      <c r="U310" s="4"/>
    </row>
    <row r="311" ht="18.0" customHeight="1">
      <c r="A311" s="35"/>
      <c r="B311" s="37" t="s">
        <v>420</v>
      </c>
      <c r="C311" s="38">
        <v>44566.0</v>
      </c>
      <c r="D311" s="37">
        <v>87.0</v>
      </c>
      <c r="E311" s="37">
        <v>685.0</v>
      </c>
      <c r="F311" s="37">
        <v>41.07</v>
      </c>
      <c r="G311" s="39">
        <v>8913.85</v>
      </c>
      <c r="H311" s="37" t="s">
        <v>59</v>
      </c>
      <c r="I311" s="52" t="s">
        <v>38</v>
      </c>
      <c r="J311" s="37" t="str">
        <f t="shared" si="4"/>
        <v>No</v>
      </c>
      <c r="K311" s="35"/>
      <c r="L311" s="35"/>
      <c r="M311" s="35"/>
      <c r="N311" s="4"/>
      <c r="O311" s="4"/>
      <c r="P311" s="50"/>
      <c r="Q311" s="50"/>
      <c r="R311" s="50"/>
      <c r="S311" s="51"/>
      <c r="T311" s="4"/>
      <c r="U311" s="4"/>
    </row>
    <row r="312" ht="18.0" customHeight="1">
      <c r="A312" s="35"/>
      <c r="B312" s="37" t="s">
        <v>421</v>
      </c>
      <c r="C312" s="38">
        <v>44775.0</v>
      </c>
      <c r="D312" s="37">
        <v>93.0</v>
      </c>
      <c r="E312" s="37">
        <v>627.0</v>
      </c>
      <c r="F312" s="37">
        <v>169.16</v>
      </c>
      <c r="G312" s="39">
        <v>4719.07</v>
      </c>
      <c r="H312" s="37" t="s">
        <v>61</v>
      </c>
      <c r="I312" s="52" t="s">
        <v>38</v>
      </c>
      <c r="J312" s="37" t="str">
        <f t="shared" si="4"/>
        <v>No</v>
      </c>
      <c r="K312" s="35"/>
      <c r="L312" s="35"/>
      <c r="M312" s="35"/>
      <c r="N312" s="4"/>
      <c r="O312" s="4"/>
      <c r="P312" s="50"/>
      <c r="Q312" s="50"/>
      <c r="R312" s="50"/>
      <c r="S312" s="51"/>
      <c r="T312" s="4"/>
      <c r="U312" s="4"/>
    </row>
    <row r="313" ht="18.0" customHeight="1">
      <c r="A313" s="35"/>
      <c r="B313" s="37" t="s">
        <v>422</v>
      </c>
      <c r="C313" s="38">
        <v>44694.0</v>
      </c>
      <c r="D313" s="37">
        <v>22.0</v>
      </c>
      <c r="E313" s="37">
        <v>526.0</v>
      </c>
      <c r="F313" s="37">
        <v>99.95</v>
      </c>
      <c r="G313" s="39">
        <v>372.31</v>
      </c>
      <c r="H313" s="37" t="s">
        <v>63</v>
      </c>
      <c r="I313" s="52" t="s">
        <v>42</v>
      </c>
      <c r="J313" s="37" t="str">
        <f t="shared" si="4"/>
        <v>No</v>
      </c>
      <c r="K313" s="35"/>
      <c r="L313" s="35"/>
      <c r="M313" s="35"/>
      <c r="N313" s="4"/>
      <c r="O313" s="4"/>
      <c r="P313" s="50"/>
      <c r="Q313" s="50"/>
      <c r="R313" s="50"/>
      <c r="S313" s="51"/>
      <c r="T313" s="4"/>
      <c r="U313" s="4"/>
    </row>
    <row r="314" ht="18.0" customHeight="1">
      <c r="A314" s="35"/>
      <c r="B314" s="37" t="s">
        <v>423</v>
      </c>
      <c r="C314" s="38">
        <v>44828.0</v>
      </c>
      <c r="D314" s="37">
        <v>54.0</v>
      </c>
      <c r="E314" s="37">
        <v>600.0</v>
      </c>
      <c r="F314" s="37">
        <v>91.91</v>
      </c>
      <c r="G314" s="39">
        <v>8530.47</v>
      </c>
      <c r="H314" s="37" t="s">
        <v>66</v>
      </c>
      <c r="I314" s="52" t="s">
        <v>50</v>
      </c>
      <c r="J314" s="37" t="str">
        <f t="shared" si="4"/>
        <v>No</v>
      </c>
      <c r="K314" s="35"/>
      <c r="L314" s="35"/>
      <c r="M314" s="35"/>
      <c r="N314" s="4"/>
      <c r="O314" s="4"/>
      <c r="P314" s="50"/>
      <c r="Q314" s="50"/>
      <c r="R314" s="50"/>
      <c r="S314" s="51"/>
      <c r="T314" s="4"/>
      <c r="U314" s="4"/>
    </row>
    <row r="315" ht="18.0" customHeight="1">
      <c r="A315" s="35"/>
      <c r="B315" s="37" t="s">
        <v>424</v>
      </c>
      <c r="C315" s="38">
        <v>44569.0</v>
      </c>
      <c r="D315" s="37">
        <v>5.0</v>
      </c>
      <c r="E315" s="37">
        <v>151.0</v>
      </c>
      <c r="F315" s="37">
        <v>67.74</v>
      </c>
      <c r="G315" s="39">
        <v>2925.67</v>
      </c>
      <c r="H315" s="37" t="s">
        <v>68</v>
      </c>
      <c r="I315" s="52" t="s">
        <v>42</v>
      </c>
      <c r="J315" s="37" t="str">
        <f t="shared" si="4"/>
        <v>No</v>
      </c>
      <c r="K315" s="35"/>
      <c r="L315" s="35"/>
      <c r="M315" s="35"/>
      <c r="N315" s="4"/>
      <c r="O315" s="4"/>
      <c r="P315" s="50"/>
      <c r="Q315" s="50"/>
      <c r="R315" s="50"/>
      <c r="S315" s="51"/>
      <c r="T315" s="4"/>
      <c r="U315" s="4"/>
    </row>
    <row r="316" ht="18.0" customHeight="1">
      <c r="A316" s="35"/>
      <c r="B316" s="37" t="s">
        <v>425</v>
      </c>
      <c r="C316" s="38">
        <v>44712.0</v>
      </c>
      <c r="D316" s="37">
        <v>25.0</v>
      </c>
      <c r="E316" s="37">
        <v>533.0</v>
      </c>
      <c r="F316" s="37">
        <v>61.45</v>
      </c>
      <c r="G316" s="39">
        <v>6243.4</v>
      </c>
      <c r="H316" s="37" t="s">
        <v>71</v>
      </c>
      <c r="I316" s="52" t="s">
        <v>50</v>
      </c>
      <c r="J316" s="37" t="str">
        <f t="shared" si="4"/>
        <v>No</v>
      </c>
      <c r="K316" s="35"/>
      <c r="L316" s="35"/>
      <c r="M316" s="35"/>
      <c r="N316" s="4"/>
      <c r="O316" s="4"/>
      <c r="P316" s="50"/>
      <c r="Q316" s="50"/>
      <c r="R316" s="50"/>
      <c r="S316" s="51"/>
      <c r="T316" s="4"/>
      <c r="U316" s="4"/>
    </row>
    <row r="317" ht="18.0" customHeight="1">
      <c r="A317" s="35"/>
      <c r="B317" s="37" t="s">
        <v>426</v>
      </c>
      <c r="C317" s="38">
        <v>44758.0</v>
      </c>
      <c r="D317" s="37">
        <v>44.0</v>
      </c>
      <c r="E317" s="37">
        <v>560.0</v>
      </c>
      <c r="F317" s="37">
        <v>137.1</v>
      </c>
      <c r="G317" s="39">
        <v>1934.35</v>
      </c>
      <c r="H317" s="37" t="s">
        <v>427</v>
      </c>
      <c r="I317" s="52" t="s">
        <v>50</v>
      </c>
      <c r="J317" s="37" t="str">
        <f t="shared" si="4"/>
        <v>No</v>
      </c>
      <c r="K317" s="35"/>
      <c r="L317" s="35"/>
      <c r="M317" s="35"/>
      <c r="N317" s="4"/>
      <c r="O317" s="4"/>
      <c r="P317" s="50"/>
      <c r="Q317" s="50"/>
      <c r="R317" s="50"/>
      <c r="S317" s="51"/>
      <c r="T317" s="4"/>
      <c r="U317" s="4"/>
    </row>
    <row r="318" ht="18.0" customHeight="1">
      <c r="A318" s="35"/>
      <c r="B318" s="37" t="s">
        <v>428</v>
      </c>
      <c r="C318" s="38">
        <v>44669.0</v>
      </c>
      <c r="D318" s="37">
        <v>79.0</v>
      </c>
      <c r="E318" s="37">
        <v>716.0</v>
      </c>
      <c r="F318" s="37">
        <v>63.51</v>
      </c>
      <c r="G318" s="39">
        <v>907.35</v>
      </c>
      <c r="H318" s="37" t="s">
        <v>429</v>
      </c>
      <c r="I318" s="52" t="s">
        <v>50</v>
      </c>
      <c r="J318" s="37" t="str">
        <f t="shared" si="4"/>
        <v>No</v>
      </c>
      <c r="K318" s="35"/>
      <c r="L318" s="35"/>
      <c r="M318" s="35"/>
      <c r="N318" s="4"/>
      <c r="O318" s="4"/>
      <c r="P318" s="50"/>
      <c r="Q318" s="50"/>
      <c r="R318" s="50"/>
      <c r="S318" s="51"/>
      <c r="T318" s="4"/>
      <c r="U318" s="4"/>
    </row>
    <row r="319" ht="18.0" customHeight="1">
      <c r="A319" s="35"/>
      <c r="B319" s="37" t="s">
        <v>430</v>
      </c>
      <c r="C319" s="38">
        <v>44903.0</v>
      </c>
      <c r="D319" s="37">
        <v>51.0</v>
      </c>
      <c r="E319" s="37">
        <v>992.0</v>
      </c>
      <c r="F319" s="37">
        <v>140.69</v>
      </c>
      <c r="G319" s="39">
        <v>1295.81</v>
      </c>
      <c r="H319" s="37" t="s">
        <v>431</v>
      </c>
      <c r="I319" s="52" t="s">
        <v>42</v>
      </c>
      <c r="J319" s="37" t="str">
        <f t="shared" si="4"/>
        <v>No</v>
      </c>
      <c r="K319" s="35"/>
      <c r="L319" s="35"/>
      <c r="M319" s="35"/>
      <c r="N319" s="4"/>
      <c r="O319" s="4"/>
      <c r="P319" s="50"/>
      <c r="Q319" s="50"/>
      <c r="R319" s="50"/>
      <c r="S319" s="51"/>
      <c r="T319" s="4"/>
      <c r="U319" s="4"/>
    </row>
    <row r="320" ht="18.0" customHeight="1">
      <c r="A320" s="35"/>
      <c r="B320" s="37" t="s">
        <v>432</v>
      </c>
      <c r="C320" s="38">
        <v>44754.0</v>
      </c>
      <c r="D320" s="37">
        <v>14.0</v>
      </c>
      <c r="E320" s="37">
        <v>730.0</v>
      </c>
      <c r="F320" s="37">
        <v>45.55</v>
      </c>
      <c r="G320" s="39">
        <v>7108.39</v>
      </c>
      <c r="H320" s="37" t="s">
        <v>433</v>
      </c>
      <c r="I320" s="52" t="s">
        <v>42</v>
      </c>
      <c r="J320" s="37" t="str">
        <f t="shared" si="4"/>
        <v>No</v>
      </c>
      <c r="K320" s="35"/>
      <c r="L320" s="35"/>
      <c r="M320" s="35"/>
      <c r="N320" s="4"/>
      <c r="O320" s="4"/>
      <c r="P320" s="50"/>
      <c r="Q320" s="50"/>
      <c r="R320" s="50"/>
      <c r="S320" s="51"/>
      <c r="T320" s="4"/>
      <c r="U320" s="4"/>
    </row>
    <row r="321" ht="18.0" customHeight="1">
      <c r="A321" s="35"/>
      <c r="B321" s="37" t="s">
        <v>434</v>
      </c>
      <c r="C321" s="38">
        <v>44848.0</v>
      </c>
      <c r="D321" s="37">
        <v>29.0</v>
      </c>
      <c r="E321" s="37">
        <v>814.0</v>
      </c>
      <c r="F321" s="37">
        <v>237.01</v>
      </c>
      <c r="G321" s="39">
        <v>5809.66</v>
      </c>
      <c r="H321" s="37" t="s">
        <v>435</v>
      </c>
      <c r="I321" s="52" t="s">
        <v>42</v>
      </c>
      <c r="J321" s="37" t="str">
        <f t="shared" si="4"/>
        <v>No</v>
      </c>
      <c r="K321" s="35"/>
      <c r="L321" s="35"/>
      <c r="M321" s="35"/>
      <c r="N321" s="4"/>
      <c r="O321" s="4"/>
      <c r="P321" s="50"/>
      <c r="Q321" s="50"/>
      <c r="R321" s="50"/>
      <c r="S321" s="51"/>
      <c r="T321" s="4"/>
      <c r="U321" s="4"/>
    </row>
    <row r="322" ht="18.0" customHeight="1">
      <c r="A322" s="35"/>
      <c r="B322" s="37" t="s">
        <v>436</v>
      </c>
      <c r="C322" s="38">
        <v>44602.0</v>
      </c>
      <c r="D322" s="37">
        <v>39.0</v>
      </c>
      <c r="E322" s="37">
        <v>901.0</v>
      </c>
      <c r="F322" s="37">
        <v>60.69</v>
      </c>
      <c r="G322" s="39">
        <v>4877.67</v>
      </c>
      <c r="H322" s="37" t="s">
        <v>437</v>
      </c>
      <c r="I322" s="52" t="s">
        <v>50</v>
      </c>
      <c r="J322" s="37" t="str">
        <f t="shared" si="4"/>
        <v>No</v>
      </c>
      <c r="K322" s="35"/>
      <c r="L322" s="35"/>
      <c r="M322" s="35"/>
      <c r="N322" s="4"/>
      <c r="O322" s="4"/>
      <c r="P322" s="50"/>
      <c r="Q322" s="50"/>
      <c r="R322" s="50"/>
      <c r="S322" s="51"/>
      <c r="T322" s="4"/>
      <c r="U322" s="4"/>
    </row>
    <row r="323" ht="18.0" customHeight="1">
      <c r="A323" s="35"/>
      <c r="B323" s="37" t="s">
        <v>48</v>
      </c>
      <c r="C323" s="38">
        <v>44654.0</v>
      </c>
      <c r="D323" s="37">
        <v>70.0</v>
      </c>
      <c r="E323" s="37">
        <v>860.0</v>
      </c>
      <c r="F323" s="37">
        <v>1.64</v>
      </c>
      <c r="G323" s="39">
        <v>8399.77</v>
      </c>
      <c r="H323" s="37" t="s">
        <v>438</v>
      </c>
      <c r="I323" s="52" t="s">
        <v>42</v>
      </c>
      <c r="J323" s="37" t="str">
        <f t="shared" si="4"/>
        <v>No</v>
      </c>
      <c r="K323" s="35"/>
      <c r="L323" s="35"/>
      <c r="M323" s="35"/>
      <c r="N323" s="4"/>
      <c r="O323" s="4"/>
      <c r="P323" s="50"/>
      <c r="Q323" s="50"/>
      <c r="R323" s="50"/>
      <c r="S323" s="51"/>
      <c r="T323" s="4"/>
      <c r="U323" s="4"/>
    </row>
    <row r="324" ht="18.0" customHeight="1">
      <c r="A324" s="35"/>
      <c r="B324" s="37" t="s">
        <v>439</v>
      </c>
      <c r="C324" s="38">
        <v>44709.0</v>
      </c>
      <c r="D324" s="37">
        <v>86.0</v>
      </c>
      <c r="E324" s="37">
        <v>188.0</v>
      </c>
      <c r="F324" s="37">
        <v>132.56</v>
      </c>
      <c r="G324" s="39">
        <v>3641.17</v>
      </c>
      <c r="H324" s="37" t="s">
        <v>440</v>
      </c>
      <c r="I324" s="52" t="s">
        <v>38</v>
      </c>
      <c r="J324" s="37" t="str">
        <f t="shared" si="4"/>
        <v>No</v>
      </c>
      <c r="K324" s="35"/>
      <c r="L324" s="35"/>
      <c r="M324" s="35"/>
      <c r="N324" s="4"/>
      <c r="O324" s="4"/>
      <c r="P324" s="50"/>
      <c r="Q324" s="50"/>
      <c r="R324" s="50"/>
      <c r="S324" s="51"/>
      <c r="T324" s="4"/>
      <c r="U324" s="4"/>
    </row>
    <row r="325" ht="18.0" customHeight="1">
      <c r="A325" s="35"/>
      <c r="B325" s="37" t="s">
        <v>441</v>
      </c>
      <c r="C325" s="38">
        <v>44702.0</v>
      </c>
      <c r="D325" s="37">
        <v>61.0</v>
      </c>
      <c r="E325" s="37">
        <v>648.0</v>
      </c>
      <c r="F325" s="37">
        <v>234.37</v>
      </c>
      <c r="G325" s="39">
        <v>407.42</v>
      </c>
      <c r="H325" s="37" t="s">
        <v>442</v>
      </c>
      <c r="I325" s="52" t="s">
        <v>38</v>
      </c>
      <c r="J325" s="37" t="str">
        <f t="shared" si="4"/>
        <v>No</v>
      </c>
      <c r="K325" s="35"/>
      <c r="L325" s="35"/>
      <c r="M325" s="35"/>
      <c r="N325" s="4"/>
      <c r="O325" s="4"/>
      <c r="P325" s="50"/>
      <c r="Q325" s="50"/>
      <c r="R325" s="50"/>
      <c r="S325" s="51"/>
      <c r="T325" s="4"/>
      <c r="U325" s="4"/>
    </row>
    <row r="326" ht="18.0" customHeight="1">
      <c r="A326" s="35"/>
      <c r="B326" s="37" t="s">
        <v>48</v>
      </c>
      <c r="C326" s="38">
        <v>44922.0</v>
      </c>
      <c r="D326" s="37">
        <v>65.0</v>
      </c>
      <c r="E326" s="37">
        <v>279.0</v>
      </c>
      <c r="F326" s="37">
        <v>179.19</v>
      </c>
      <c r="G326" s="39">
        <v>2537.37</v>
      </c>
      <c r="H326" s="37" t="s">
        <v>443</v>
      </c>
      <c r="I326" s="52" t="s">
        <v>42</v>
      </c>
      <c r="J326" s="37" t="str">
        <f t="shared" si="4"/>
        <v>No</v>
      </c>
      <c r="K326" s="35"/>
      <c r="L326" s="35"/>
      <c r="M326" s="35"/>
      <c r="N326" s="4"/>
      <c r="O326" s="4"/>
      <c r="P326" s="50"/>
      <c r="Q326" s="50"/>
      <c r="R326" s="50"/>
      <c r="S326" s="51"/>
      <c r="T326" s="4"/>
      <c r="U326" s="4"/>
    </row>
    <row r="327" ht="18.0" customHeight="1">
      <c r="A327" s="35"/>
      <c r="B327" s="37" t="s">
        <v>444</v>
      </c>
      <c r="C327" s="38">
        <v>44670.0</v>
      </c>
      <c r="D327" s="37">
        <v>2.0</v>
      </c>
      <c r="E327" s="37">
        <v>380.0</v>
      </c>
      <c r="F327" s="37">
        <v>152.02</v>
      </c>
      <c r="G327" s="39">
        <v>7065.19</v>
      </c>
      <c r="H327" s="37" t="s">
        <v>445</v>
      </c>
      <c r="I327" s="52" t="s">
        <v>50</v>
      </c>
      <c r="J327" s="37" t="str">
        <f t="shared" si="4"/>
        <v>No</v>
      </c>
      <c r="K327" s="35"/>
      <c r="L327" s="35"/>
      <c r="M327" s="35"/>
      <c r="N327" s="4"/>
      <c r="O327" s="4"/>
      <c r="P327" s="50"/>
      <c r="Q327" s="50"/>
      <c r="R327" s="50"/>
      <c r="S327" s="51"/>
      <c r="T327" s="4"/>
      <c r="U327" s="4"/>
    </row>
    <row r="328" ht="18.0" customHeight="1">
      <c r="A328" s="35"/>
      <c r="B328" s="37" t="s">
        <v>446</v>
      </c>
      <c r="C328" s="38">
        <v>44694.0</v>
      </c>
      <c r="D328" s="37">
        <v>15.0</v>
      </c>
      <c r="E328" s="37">
        <v>451.0</v>
      </c>
      <c r="F328" s="37">
        <v>238.75</v>
      </c>
      <c r="G328" s="39">
        <v>7373.23</v>
      </c>
      <c r="H328" s="37" t="s">
        <v>447</v>
      </c>
      <c r="I328" s="52" t="s">
        <v>50</v>
      </c>
      <c r="J328" s="37" t="str">
        <f t="shared" si="4"/>
        <v>No</v>
      </c>
      <c r="K328" s="35"/>
      <c r="L328" s="35"/>
      <c r="M328" s="35"/>
      <c r="N328" s="4"/>
      <c r="O328" s="4"/>
      <c r="P328" s="50"/>
      <c r="Q328" s="50"/>
      <c r="R328" s="50"/>
      <c r="S328" s="51"/>
      <c r="T328" s="4"/>
      <c r="U328" s="4"/>
    </row>
    <row r="329" ht="18.0" customHeight="1">
      <c r="A329" s="35"/>
      <c r="B329" s="37" t="s">
        <v>448</v>
      </c>
      <c r="C329" s="38">
        <v>44812.0</v>
      </c>
      <c r="D329" s="37">
        <v>88.0</v>
      </c>
      <c r="E329" s="37">
        <v>689.0</v>
      </c>
      <c r="F329" s="37">
        <v>242.58</v>
      </c>
      <c r="G329" s="39">
        <v>4042.22</v>
      </c>
      <c r="H329" s="37" t="s">
        <v>449</v>
      </c>
      <c r="I329" s="52" t="s">
        <v>38</v>
      </c>
      <c r="J329" s="37" t="str">
        <f t="shared" si="4"/>
        <v>No</v>
      </c>
      <c r="K329" s="35"/>
      <c r="L329" s="35"/>
      <c r="M329" s="35"/>
      <c r="N329" s="4"/>
      <c r="O329" s="4"/>
      <c r="P329" s="50"/>
      <c r="Q329" s="50"/>
      <c r="R329" s="50"/>
      <c r="S329" s="51"/>
      <c r="T329" s="4"/>
      <c r="U329" s="4"/>
    </row>
    <row r="330" ht="18.0" customHeight="1">
      <c r="A330" s="35"/>
      <c r="B330" s="37" t="s">
        <v>450</v>
      </c>
      <c r="C330" s="38">
        <v>44790.0</v>
      </c>
      <c r="D330" s="37">
        <v>84.0</v>
      </c>
      <c r="E330" s="37">
        <v>480.0</v>
      </c>
      <c r="F330" s="37">
        <v>190.66</v>
      </c>
      <c r="G330" s="39">
        <v>5798.95</v>
      </c>
      <c r="H330" s="37" t="s">
        <v>451</v>
      </c>
      <c r="I330" s="52" t="s">
        <v>50</v>
      </c>
      <c r="J330" s="37" t="str">
        <f t="shared" si="4"/>
        <v>No</v>
      </c>
      <c r="K330" s="35"/>
      <c r="L330" s="35"/>
      <c r="M330" s="35"/>
      <c r="N330" s="4"/>
      <c r="O330" s="4"/>
      <c r="P330" s="50"/>
      <c r="Q330" s="50"/>
      <c r="R330" s="50"/>
      <c r="S330" s="51"/>
      <c r="T330" s="4"/>
      <c r="U330" s="4"/>
    </row>
    <row r="331" ht="18.0" customHeight="1">
      <c r="A331" s="35"/>
      <c r="B331" s="37" t="s">
        <v>452</v>
      </c>
      <c r="C331" s="38">
        <v>44582.0</v>
      </c>
      <c r="D331" s="37">
        <v>10.0</v>
      </c>
      <c r="E331" s="37">
        <v>289.0</v>
      </c>
      <c r="F331" s="37">
        <v>80.05</v>
      </c>
      <c r="G331" s="39">
        <v>2979.77</v>
      </c>
      <c r="H331" s="37" t="s">
        <v>453</v>
      </c>
      <c r="I331" s="52" t="s">
        <v>42</v>
      </c>
      <c r="J331" s="37" t="str">
        <f t="shared" si="4"/>
        <v>No</v>
      </c>
      <c r="K331" s="35"/>
      <c r="L331" s="35"/>
      <c r="M331" s="35"/>
      <c r="N331" s="4"/>
      <c r="O331" s="4"/>
      <c r="P331" s="50"/>
      <c r="Q331" s="50"/>
      <c r="R331" s="50"/>
      <c r="S331" s="51"/>
      <c r="T331" s="4"/>
      <c r="U331" s="4"/>
    </row>
    <row r="332" ht="18.0" customHeight="1">
      <c r="A332" s="35"/>
      <c r="B332" s="37" t="s">
        <v>454</v>
      </c>
      <c r="C332" s="38">
        <v>44841.0</v>
      </c>
      <c r="D332" s="37">
        <v>77.0</v>
      </c>
      <c r="E332" s="37">
        <v>739.0</v>
      </c>
      <c r="F332" s="37">
        <v>25.07</v>
      </c>
      <c r="G332" s="39">
        <v>4667.18</v>
      </c>
      <c r="H332" s="37" t="s">
        <v>455</v>
      </c>
      <c r="I332" s="52" t="s">
        <v>50</v>
      </c>
      <c r="J332" s="37" t="str">
        <f t="shared" si="4"/>
        <v>No</v>
      </c>
      <c r="K332" s="35"/>
      <c r="L332" s="35"/>
      <c r="M332" s="35"/>
      <c r="N332" s="4"/>
      <c r="O332" s="4"/>
      <c r="P332" s="50"/>
      <c r="Q332" s="50"/>
      <c r="R332" s="50"/>
      <c r="S332" s="51"/>
      <c r="T332" s="4"/>
      <c r="U332" s="4"/>
    </row>
    <row r="333" ht="18.0" customHeight="1">
      <c r="A333" s="35"/>
      <c r="B333" s="37" t="s">
        <v>456</v>
      </c>
      <c r="C333" s="38">
        <v>44820.0</v>
      </c>
      <c r="D333" s="37">
        <v>65.0</v>
      </c>
      <c r="E333" s="37">
        <v>254.0</v>
      </c>
      <c r="F333" s="37">
        <v>161.2</v>
      </c>
      <c r="G333" s="39">
        <v>4354.43</v>
      </c>
      <c r="H333" s="37" t="s">
        <v>457</v>
      </c>
      <c r="I333" s="52" t="s">
        <v>38</v>
      </c>
      <c r="J333" s="37" t="str">
        <f t="shared" si="4"/>
        <v>No</v>
      </c>
      <c r="K333" s="35"/>
      <c r="L333" s="35"/>
      <c r="M333" s="35"/>
      <c r="N333" s="4"/>
      <c r="O333" s="4"/>
      <c r="P333" s="50"/>
      <c r="Q333" s="50"/>
      <c r="R333" s="50"/>
      <c r="S333" s="51"/>
      <c r="T333" s="4"/>
      <c r="U333" s="4"/>
    </row>
    <row r="334" ht="18.0" customHeight="1">
      <c r="A334" s="35"/>
      <c r="B334" s="37" t="s">
        <v>458</v>
      </c>
      <c r="C334" s="38">
        <v>44683.0</v>
      </c>
      <c r="D334" s="37">
        <v>90.0</v>
      </c>
      <c r="E334" s="37">
        <v>579.0</v>
      </c>
      <c r="F334" s="37">
        <v>92.03</v>
      </c>
      <c r="G334" s="39">
        <v>6583.8</v>
      </c>
      <c r="H334" s="37" t="s">
        <v>459</v>
      </c>
      <c r="I334" s="52" t="s">
        <v>42</v>
      </c>
      <c r="J334" s="37" t="str">
        <f t="shared" si="4"/>
        <v>No</v>
      </c>
      <c r="K334" s="35"/>
      <c r="L334" s="35"/>
      <c r="M334" s="35"/>
      <c r="N334" s="4"/>
      <c r="O334" s="4"/>
      <c r="P334" s="50"/>
      <c r="Q334" s="50"/>
      <c r="R334" s="50"/>
      <c r="S334" s="51"/>
      <c r="T334" s="4"/>
      <c r="U334" s="4"/>
    </row>
    <row r="335" ht="18.0" customHeight="1">
      <c r="A335" s="35"/>
      <c r="B335" s="37" t="s">
        <v>460</v>
      </c>
      <c r="C335" s="38">
        <v>44743.0</v>
      </c>
      <c r="D335" s="37">
        <v>73.0</v>
      </c>
      <c r="E335" s="37">
        <v>112.0</v>
      </c>
      <c r="F335" s="37">
        <v>192.88</v>
      </c>
      <c r="G335" s="39">
        <v>8600.97</v>
      </c>
      <c r="H335" s="37" t="s">
        <v>461</v>
      </c>
      <c r="I335" s="52" t="s">
        <v>50</v>
      </c>
      <c r="J335" s="37" t="str">
        <f t="shared" si="4"/>
        <v>No</v>
      </c>
      <c r="K335" s="35"/>
      <c r="L335" s="35"/>
      <c r="M335" s="35"/>
      <c r="N335" s="4"/>
      <c r="O335" s="4"/>
      <c r="P335" s="50"/>
      <c r="Q335" s="50"/>
      <c r="R335" s="50"/>
      <c r="S335" s="51"/>
      <c r="T335" s="4"/>
      <c r="U335" s="4"/>
    </row>
    <row r="336" ht="18.0" customHeight="1">
      <c r="A336" s="35"/>
      <c r="B336" s="37" t="s">
        <v>462</v>
      </c>
      <c r="C336" s="38">
        <v>44816.0</v>
      </c>
      <c r="D336" s="37">
        <v>43.0</v>
      </c>
      <c r="E336" s="37">
        <v>728.0</v>
      </c>
      <c r="F336" s="37">
        <v>10.37</v>
      </c>
      <c r="G336" s="39">
        <v>2833.02</v>
      </c>
      <c r="H336" s="37" t="s">
        <v>463</v>
      </c>
      <c r="I336" s="52" t="s">
        <v>38</v>
      </c>
      <c r="J336" s="37" t="str">
        <f t="shared" si="4"/>
        <v>No</v>
      </c>
      <c r="K336" s="35"/>
      <c r="L336" s="35"/>
      <c r="M336" s="35"/>
      <c r="N336" s="4"/>
      <c r="O336" s="4"/>
      <c r="P336" s="50"/>
      <c r="Q336" s="50"/>
      <c r="R336" s="50"/>
      <c r="S336" s="51"/>
      <c r="T336" s="4"/>
      <c r="U336" s="4"/>
    </row>
    <row r="337" ht="18.0" customHeight="1">
      <c r="A337" s="35"/>
      <c r="B337" s="37" t="s">
        <v>464</v>
      </c>
      <c r="C337" s="38">
        <v>44751.0</v>
      </c>
      <c r="D337" s="37">
        <v>57.0</v>
      </c>
      <c r="E337" s="37">
        <v>864.0</v>
      </c>
      <c r="F337" s="37">
        <v>194.67</v>
      </c>
      <c r="G337" s="39">
        <v>3029.82</v>
      </c>
      <c r="H337" s="37" t="s">
        <v>465</v>
      </c>
      <c r="I337" s="52" t="s">
        <v>38</v>
      </c>
      <c r="J337" s="37" t="str">
        <f t="shared" si="4"/>
        <v>No</v>
      </c>
      <c r="K337" s="35"/>
      <c r="L337" s="35"/>
      <c r="M337" s="35"/>
      <c r="N337" s="4"/>
      <c r="O337" s="4"/>
      <c r="P337" s="50"/>
      <c r="Q337" s="50"/>
      <c r="R337" s="50"/>
      <c r="S337" s="51"/>
      <c r="T337" s="4"/>
      <c r="U337" s="4"/>
    </row>
    <row r="338" ht="18.0" customHeight="1">
      <c r="A338" s="35"/>
      <c r="B338" s="37" t="s">
        <v>466</v>
      </c>
      <c r="C338" s="38">
        <v>44905.0</v>
      </c>
      <c r="D338" s="37">
        <v>24.0</v>
      </c>
      <c r="E338" s="37">
        <v>543.0</v>
      </c>
      <c r="F338" s="37">
        <v>237.06</v>
      </c>
      <c r="G338" s="39">
        <v>3495.84</v>
      </c>
      <c r="H338" s="37" t="s">
        <v>467</v>
      </c>
      <c r="I338" s="52" t="s">
        <v>42</v>
      </c>
      <c r="J338" s="37" t="str">
        <f t="shared" si="4"/>
        <v>No</v>
      </c>
      <c r="K338" s="35"/>
      <c r="L338" s="35"/>
      <c r="M338" s="35"/>
      <c r="N338" s="4"/>
      <c r="O338" s="4"/>
      <c r="P338" s="50"/>
      <c r="Q338" s="50"/>
      <c r="R338" s="50"/>
      <c r="S338" s="51"/>
      <c r="T338" s="4"/>
      <c r="U338" s="4"/>
    </row>
    <row r="339" ht="18.0" customHeight="1">
      <c r="A339" s="35"/>
      <c r="B339" s="37" t="s">
        <v>468</v>
      </c>
      <c r="C339" s="38">
        <v>44732.0</v>
      </c>
      <c r="D339" s="37">
        <v>68.0</v>
      </c>
      <c r="E339" s="37">
        <v>760.0</v>
      </c>
      <c r="F339" s="37">
        <v>110.71</v>
      </c>
      <c r="G339" s="39">
        <v>362.36</v>
      </c>
      <c r="H339" s="37" t="s">
        <v>469</v>
      </c>
      <c r="I339" s="52" t="s">
        <v>42</v>
      </c>
      <c r="J339" s="37" t="str">
        <f t="shared" si="4"/>
        <v>No</v>
      </c>
      <c r="K339" s="35"/>
      <c r="L339" s="35"/>
      <c r="M339" s="35"/>
      <c r="N339" s="4"/>
      <c r="O339" s="4"/>
      <c r="P339" s="50"/>
      <c r="Q339" s="50"/>
      <c r="R339" s="50"/>
      <c r="S339" s="51"/>
      <c r="T339" s="4"/>
      <c r="U339" s="4"/>
    </row>
    <row r="340" ht="18.0" customHeight="1">
      <c r="A340" s="35"/>
      <c r="B340" s="37" t="s">
        <v>470</v>
      </c>
      <c r="C340" s="38">
        <v>44669.0</v>
      </c>
      <c r="D340" s="37">
        <v>28.0</v>
      </c>
      <c r="E340" s="37">
        <v>380.0</v>
      </c>
      <c r="F340" s="37">
        <v>119.19</v>
      </c>
      <c r="G340" s="39">
        <v>5149.1</v>
      </c>
      <c r="H340" s="37" t="s">
        <v>471</v>
      </c>
      <c r="I340" s="52" t="s">
        <v>38</v>
      </c>
      <c r="J340" s="37" t="str">
        <f t="shared" si="4"/>
        <v>No</v>
      </c>
      <c r="K340" s="35"/>
      <c r="L340" s="35"/>
      <c r="M340" s="35"/>
      <c r="N340" s="4"/>
      <c r="O340" s="4"/>
      <c r="P340" s="50"/>
      <c r="Q340" s="50"/>
      <c r="R340" s="50"/>
      <c r="S340" s="51"/>
      <c r="T340" s="4"/>
      <c r="U340" s="4"/>
    </row>
    <row r="341" ht="18.0" customHeight="1">
      <c r="A341" s="35"/>
      <c r="B341" s="37" t="s">
        <v>472</v>
      </c>
      <c r="C341" s="38">
        <v>44754.0</v>
      </c>
      <c r="D341" s="37">
        <v>92.0</v>
      </c>
      <c r="E341" s="37">
        <v>58.0</v>
      </c>
      <c r="F341" s="37">
        <v>199.2</v>
      </c>
      <c r="G341" s="39">
        <v>8989.98</v>
      </c>
      <c r="H341" s="37" t="s">
        <v>473</v>
      </c>
      <c r="I341" s="52" t="s">
        <v>50</v>
      </c>
      <c r="J341" s="37" t="str">
        <f t="shared" si="4"/>
        <v>No</v>
      </c>
      <c r="K341" s="35"/>
      <c r="L341" s="35"/>
      <c r="M341" s="35"/>
      <c r="N341" s="4"/>
      <c r="O341" s="4"/>
      <c r="P341" s="50"/>
      <c r="Q341" s="50"/>
      <c r="R341" s="50"/>
      <c r="S341" s="51"/>
      <c r="T341" s="4"/>
      <c r="U341" s="4"/>
    </row>
    <row r="342" ht="18.0" customHeight="1">
      <c r="A342" s="35"/>
      <c r="B342" s="37" t="s">
        <v>474</v>
      </c>
      <c r="C342" s="38">
        <v>44809.0</v>
      </c>
      <c r="D342" s="37">
        <v>32.0</v>
      </c>
      <c r="E342" s="37">
        <v>238.0</v>
      </c>
      <c r="F342" s="37">
        <v>184.72</v>
      </c>
      <c r="G342" s="39">
        <v>8950.0</v>
      </c>
      <c r="H342" s="37" t="s">
        <v>475</v>
      </c>
      <c r="I342" s="52" t="s">
        <v>42</v>
      </c>
      <c r="J342" s="37" t="str">
        <f t="shared" si="4"/>
        <v>No</v>
      </c>
      <c r="K342" s="35"/>
      <c r="L342" s="35"/>
      <c r="M342" s="35"/>
      <c r="N342" s="4"/>
      <c r="O342" s="4"/>
      <c r="P342" s="50"/>
      <c r="Q342" s="50"/>
      <c r="R342" s="50"/>
      <c r="S342" s="51"/>
      <c r="T342" s="4"/>
      <c r="U342" s="4"/>
    </row>
    <row r="343" ht="18.0" customHeight="1">
      <c r="A343" s="35"/>
      <c r="B343" s="37" t="s">
        <v>476</v>
      </c>
      <c r="C343" s="38">
        <v>44846.0</v>
      </c>
      <c r="D343" s="37">
        <v>8.0</v>
      </c>
      <c r="E343" s="37">
        <v>966.0</v>
      </c>
      <c r="F343" s="37">
        <v>239.12</v>
      </c>
      <c r="G343" s="39">
        <v>7003.0</v>
      </c>
      <c r="H343" s="37" t="s">
        <v>202</v>
      </c>
      <c r="I343" s="52" t="s">
        <v>38</v>
      </c>
      <c r="J343" s="37" t="str">
        <f t="shared" si="4"/>
        <v>No</v>
      </c>
      <c r="K343" s="35"/>
      <c r="L343" s="35"/>
      <c r="M343" s="35"/>
      <c r="N343" s="4"/>
      <c r="O343" s="4"/>
      <c r="P343" s="50"/>
      <c r="Q343" s="50"/>
      <c r="R343" s="50"/>
      <c r="S343" s="51"/>
      <c r="T343" s="4"/>
      <c r="U343" s="4"/>
    </row>
    <row r="344" ht="18.0" customHeight="1">
      <c r="A344" s="35"/>
      <c r="B344" s="37" t="s">
        <v>477</v>
      </c>
      <c r="C344" s="38">
        <v>44743.0</v>
      </c>
      <c r="D344" s="37">
        <v>70.0</v>
      </c>
      <c r="E344" s="37">
        <v>422.0</v>
      </c>
      <c r="F344" s="37">
        <v>61.12</v>
      </c>
      <c r="G344" s="39">
        <v>8271.38</v>
      </c>
      <c r="H344" s="37" t="s">
        <v>478</v>
      </c>
      <c r="I344" s="52" t="s">
        <v>38</v>
      </c>
      <c r="J344" s="37" t="str">
        <f t="shared" si="4"/>
        <v>No</v>
      </c>
      <c r="K344" s="35"/>
      <c r="L344" s="35"/>
      <c r="M344" s="35"/>
      <c r="N344" s="4"/>
      <c r="O344" s="4"/>
      <c r="P344" s="50"/>
      <c r="Q344" s="50"/>
      <c r="R344" s="50"/>
      <c r="S344" s="51"/>
      <c r="T344" s="4"/>
      <c r="U344" s="4"/>
    </row>
    <row r="345" ht="18.0" customHeight="1">
      <c r="A345" s="35"/>
      <c r="B345" s="37" t="s">
        <v>479</v>
      </c>
      <c r="C345" s="38">
        <v>44720.0</v>
      </c>
      <c r="D345" s="37">
        <v>16.0</v>
      </c>
      <c r="E345" s="37">
        <v>819.0</v>
      </c>
      <c r="F345" s="37">
        <v>213.32</v>
      </c>
      <c r="G345" s="39">
        <v>9370.4</v>
      </c>
      <c r="H345" s="37" t="s">
        <v>480</v>
      </c>
      <c r="I345" s="52" t="s">
        <v>38</v>
      </c>
      <c r="J345" s="37" t="str">
        <f t="shared" si="4"/>
        <v>No</v>
      </c>
      <c r="K345" s="35"/>
      <c r="L345" s="35"/>
      <c r="M345" s="35"/>
      <c r="N345" s="4"/>
      <c r="O345" s="4"/>
      <c r="P345" s="50"/>
      <c r="Q345" s="50"/>
      <c r="R345" s="50"/>
      <c r="S345" s="51"/>
      <c r="T345" s="4"/>
      <c r="U345" s="4"/>
    </row>
    <row r="346" ht="18.0" customHeight="1">
      <c r="A346" s="35"/>
      <c r="B346" s="37" t="s">
        <v>481</v>
      </c>
      <c r="C346" s="38">
        <v>44909.0</v>
      </c>
      <c r="D346" s="37">
        <v>43.0</v>
      </c>
      <c r="E346" s="37">
        <v>24.0</v>
      </c>
      <c r="F346" s="37">
        <v>38.48</v>
      </c>
      <c r="G346" s="39">
        <v>1908.08</v>
      </c>
      <c r="H346" s="37" t="s">
        <v>482</v>
      </c>
      <c r="I346" s="52" t="s">
        <v>50</v>
      </c>
      <c r="J346" s="37" t="str">
        <f t="shared" si="4"/>
        <v>No</v>
      </c>
      <c r="K346" s="35"/>
      <c r="L346" s="35"/>
      <c r="M346" s="35"/>
      <c r="N346" s="4"/>
      <c r="O346" s="4"/>
      <c r="P346" s="50"/>
      <c r="Q346" s="50"/>
      <c r="R346" s="50"/>
      <c r="S346" s="51"/>
      <c r="T346" s="4"/>
      <c r="U346" s="4"/>
    </row>
    <row r="347" ht="18.0" customHeight="1">
      <c r="A347" s="35"/>
      <c r="B347" s="37" t="s">
        <v>21</v>
      </c>
      <c r="C347" s="38">
        <v>44852.0</v>
      </c>
      <c r="D347" s="37">
        <v>96.0</v>
      </c>
      <c r="E347" s="37">
        <v>392.0</v>
      </c>
      <c r="F347" s="37">
        <v>235.15</v>
      </c>
      <c r="G347" s="39">
        <v>2192.31</v>
      </c>
      <c r="H347" s="37" t="s">
        <v>483</v>
      </c>
      <c r="I347" s="52" t="s">
        <v>38</v>
      </c>
      <c r="J347" s="37" t="str">
        <f t="shared" si="4"/>
        <v>No</v>
      </c>
      <c r="K347" s="35"/>
      <c r="L347" s="35"/>
      <c r="M347" s="35"/>
      <c r="N347" s="4"/>
      <c r="O347" s="4"/>
      <c r="P347" s="50"/>
      <c r="Q347" s="50"/>
      <c r="R347" s="50"/>
      <c r="S347" s="51"/>
      <c r="T347" s="4"/>
      <c r="U347" s="4"/>
    </row>
    <row r="348" ht="18.0" customHeight="1">
      <c r="A348" s="35"/>
      <c r="B348" s="37" t="s">
        <v>484</v>
      </c>
      <c r="C348" s="38">
        <v>44603.0</v>
      </c>
      <c r="D348" s="37">
        <v>44.0</v>
      </c>
      <c r="E348" s="37">
        <v>494.0</v>
      </c>
      <c r="F348" s="37">
        <v>145.41</v>
      </c>
      <c r="G348" s="39">
        <v>7905.93</v>
      </c>
      <c r="H348" s="37" t="s">
        <v>87</v>
      </c>
      <c r="I348" s="52" t="s">
        <v>50</v>
      </c>
      <c r="J348" s="37" t="str">
        <f t="shared" si="4"/>
        <v>No</v>
      </c>
      <c r="K348" s="35"/>
      <c r="L348" s="35"/>
      <c r="M348" s="35"/>
      <c r="N348" s="4"/>
      <c r="O348" s="4"/>
      <c r="P348" s="50"/>
      <c r="Q348" s="50"/>
      <c r="R348" s="50"/>
      <c r="S348" s="51"/>
      <c r="T348" s="4"/>
      <c r="U348" s="4"/>
    </row>
    <row r="349" ht="18.0" customHeight="1">
      <c r="A349" s="35"/>
      <c r="B349" s="37" t="s">
        <v>485</v>
      </c>
      <c r="C349" s="38">
        <v>44921.0</v>
      </c>
      <c r="D349" s="37">
        <v>9.0</v>
      </c>
      <c r="E349" s="37">
        <v>576.0</v>
      </c>
      <c r="F349" s="37">
        <v>110.04</v>
      </c>
      <c r="G349" s="39">
        <v>463.56</v>
      </c>
      <c r="H349" s="37" t="s">
        <v>37</v>
      </c>
      <c r="I349" s="52" t="s">
        <v>50</v>
      </c>
      <c r="J349" s="37" t="str">
        <f t="shared" si="4"/>
        <v>No</v>
      </c>
      <c r="K349" s="35"/>
      <c r="L349" s="35"/>
      <c r="M349" s="35"/>
      <c r="N349" s="4"/>
      <c r="O349" s="4"/>
      <c r="P349" s="50"/>
      <c r="Q349" s="50"/>
      <c r="R349" s="50"/>
      <c r="S349" s="51"/>
      <c r="T349" s="4"/>
      <c r="U349" s="4"/>
    </row>
    <row r="350" ht="18.0" customHeight="1">
      <c r="A350" s="35"/>
      <c r="B350" s="37" t="s">
        <v>486</v>
      </c>
      <c r="C350" s="38">
        <v>44743.0</v>
      </c>
      <c r="D350" s="37">
        <v>87.0</v>
      </c>
      <c r="E350" s="37">
        <v>929.0</v>
      </c>
      <c r="F350" s="37">
        <v>100.84</v>
      </c>
      <c r="G350" s="39">
        <v>5093.21</v>
      </c>
      <c r="H350" s="37" t="s">
        <v>41</v>
      </c>
      <c r="I350" s="52" t="s">
        <v>50</v>
      </c>
      <c r="J350" s="37" t="str">
        <f t="shared" si="4"/>
        <v>No</v>
      </c>
      <c r="K350" s="35"/>
      <c r="L350" s="35"/>
      <c r="M350" s="35"/>
      <c r="N350" s="4"/>
      <c r="O350" s="4"/>
      <c r="P350" s="50"/>
      <c r="Q350" s="50"/>
      <c r="R350" s="50"/>
      <c r="S350" s="51"/>
      <c r="T350" s="4"/>
      <c r="U350" s="4"/>
    </row>
    <row r="351" ht="18.0" customHeight="1">
      <c r="A351" s="35"/>
      <c r="B351" s="37" t="s">
        <v>17</v>
      </c>
      <c r="C351" s="38">
        <v>44796.0</v>
      </c>
      <c r="D351" s="37">
        <v>69.0</v>
      </c>
      <c r="E351" s="37">
        <v>200.0</v>
      </c>
      <c r="F351" s="37">
        <v>76.76</v>
      </c>
      <c r="G351" s="39">
        <v>2705.11</v>
      </c>
      <c r="H351" s="37" t="s">
        <v>45</v>
      </c>
      <c r="I351" s="52" t="s">
        <v>50</v>
      </c>
      <c r="J351" s="37" t="str">
        <f t="shared" si="4"/>
        <v>No</v>
      </c>
      <c r="K351" s="35"/>
      <c r="L351" s="35"/>
      <c r="M351" s="35"/>
      <c r="N351" s="4"/>
      <c r="O351" s="4"/>
      <c r="P351" s="50"/>
      <c r="Q351" s="50"/>
      <c r="R351" s="50"/>
      <c r="S351" s="51"/>
      <c r="T351" s="4"/>
      <c r="U351" s="4"/>
    </row>
    <row r="352" ht="18.0" customHeight="1">
      <c r="A352" s="35"/>
      <c r="B352" s="37" t="s">
        <v>487</v>
      </c>
      <c r="C352" s="38">
        <v>44898.0</v>
      </c>
      <c r="D352" s="37">
        <v>6.0</v>
      </c>
      <c r="E352" s="37">
        <v>969.0</v>
      </c>
      <c r="F352" s="37">
        <v>224.95</v>
      </c>
      <c r="G352" s="39">
        <v>8227.73</v>
      </c>
      <c r="H352" s="37" t="s">
        <v>49</v>
      </c>
      <c r="I352" s="52" t="s">
        <v>42</v>
      </c>
      <c r="J352" s="37" t="str">
        <f t="shared" si="4"/>
        <v>No</v>
      </c>
      <c r="K352" s="35"/>
      <c r="L352" s="35"/>
      <c r="M352" s="35"/>
      <c r="N352" s="4"/>
      <c r="O352" s="4"/>
      <c r="P352" s="50"/>
      <c r="Q352" s="50"/>
      <c r="R352" s="50"/>
      <c r="S352" s="51"/>
      <c r="T352" s="4"/>
      <c r="U352" s="4"/>
    </row>
    <row r="353" ht="18.0" customHeight="1">
      <c r="A353" s="35"/>
      <c r="B353" s="37" t="s">
        <v>488</v>
      </c>
      <c r="C353" s="38">
        <v>44685.0</v>
      </c>
      <c r="D353" s="37">
        <v>2.0</v>
      </c>
      <c r="E353" s="37">
        <v>318.0</v>
      </c>
      <c r="F353" s="37">
        <v>19.45</v>
      </c>
      <c r="G353" s="39">
        <v>1548.08</v>
      </c>
      <c r="H353" s="37" t="s">
        <v>53</v>
      </c>
      <c r="I353" s="52" t="s">
        <v>42</v>
      </c>
      <c r="J353" s="37" t="str">
        <f t="shared" si="4"/>
        <v>No</v>
      </c>
      <c r="K353" s="35"/>
      <c r="L353" s="35"/>
      <c r="M353" s="35"/>
      <c r="N353" s="4"/>
      <c r="O353" s="4"/>
      <c r="P353" s="50"/>
      <c r="Q353" s="50"/>
      <c r="R353" s="50"/>
      <c r="S353" s="51"/>
      <c r="T353" s="4"/>
      <c r="U353" s="4"/>
    </row>
    <row r="354" ht="18.0" customHeight="1">
      <c r="A354" s="35"/>
      <c r="B354" s="37" t="s">
        <v>489</v>
      </c>
      <c r="C354" s="38">
        <v>44799.0</v>
      </c>
      <c r="D354" s="37">
        <v>13.0</v>
      </c>
      <c r="E354" s="37">
        <v>971.0</v>
      </c>
      <c r="F354" s="37">
        <v>193.14</v>
      </c>
      <c r="G354" s="39">
        <v>8060.33</v>
      </c>
      <c r="H354" s="37" t="s">
        <v>56</v>
      </c>
      <c r="I354" s="52" t="s">
        <v>50</v>
      </c>
      <c r="J354" s="37" t="str">
        <f t="shared" si="4"/>
        <v>No</v>
      </c>
      <c r="K354" s="35"/>
      <c r="L354" s="35"/>
      <c r="M354" s="35"/>
      <c r="N354" s="4"/>
      <c r="O354" s="4"/>
      <c r="P354" s="50"/>
      <c r="Q354" s="50"/>
      <c r="R354" s="50"/>
      <c r="S354" s="51"/>
      <c r="T354" s="4"/>
      <c r="U354" s="4"/>
    </row>
    <row r="355" ht="18.0" customHeight="1">
      <c r="A355" s="35"/>
      <c r="B355" s="37" t="s">
        <v>490</v>
      </c>
      <c r="C355" s="38">
        <v>44745.0</v>
      </c>
      <c r="D355" s="37">
        <v>41.0</v>
      </c>
      <c r="E355" s="37">
        <v>730.0</v>
      </c>
      <c r="F355" s="37">
        <v>28.2</v>
      </c>
      <c r="G355" s="39">
        <v>1407.01</v>
      </c>
      <c r="H355" s="37" t="s">
        <v>59</v>
      </c>
      <c r="I355" s="52" t="s">
        <v>38</v>
      </c>
      <c r="J355" s="37" t="str">
        <f t="shared" si="4"/>
        <v>No</v>
      </c>
      <c r="K355" s="35"/>
      <c r="L355" s="35"/>
      <c r="M355" s="35"/>
      <c r="N355" s="4"/>
      <c r="O355" s="4"/>
      <c r="P355" s="50"/>
      <c r="Q355" s="50"/>
      <c r="R355" s="50"/>
      <c r="S355" s="51"/>
      <c r="T355" s="4"/>
      <c r="U355" s="4"/>
    </row>
    <row r="356" ht="18.0" customHeight="1">
      <c r="A356" s="35"/>
      <c r="B356" s="37" t="s">
        <v>36</v>
      </c>
      <c r="C356" s="38">
        <v>44632.0</v>
      </c>
      <c r="D356" s="37">
        <v>86.0</v>
      </c>
      <c r="E356" s="37">
        <v>827.0</v>
      </c>
      <c r="F356" s="37">
        <v>100.53</v>
      </c>
      <c r="G356" s="39">
        <v>8989.52</v>
      </c>
      <c r="H356" s="37" t="s">
        <v>61</v>
      </c>
      <c r="I356" s="52" t="s">
        <v>50</v>
      </c>
      <c r="J356" s="37" t="str">
        <f t="shared" si="4"/>
        <v>No</v>
      </c>
      <c r="K356" s="35"/>
      <c r="L356" s="35"/>
      <c r="M356" s="35"/>
      <c r="N356" s="4"/>
      <c r="O356" s="4"/>
      <c r="P356" s="50"/>
      <c r="Q356" s="50"/>
      <c r="R356" s="50"/>
      <c r="S356" s="51"/>
      <c r="T356" s="4"/>
      <c r="U356" s="4"/>
    </row>
    <row r="357" ht="18.0" customHeight="1">
      <c r="A357" s="35"/>
      <c r="B357" s="37" t="s">
        <v>491</v>
      </c>
      <c r="C357" s="38">
        <v>44608.0</v>
      </c>
      <c r="D357" s="37">
        <v>36.0</v>
      </c>
      <c r="E357" s="37">
        <v>518.0</v>
      </c>
      <c r="F357" s="37">
        <v>148.79</v>
      </c>
      <c r="G357" s="39">
        <v>5616.26</v>
      </c>
      <c r="H357" s="37" t="s">
        <v>63</v>
      </c>
      <c r="I357" s="52" t="s">
        <v>42</v>
      </c>
      <c r="J357" s="37" t="str">
        <f t="shared" si="4"/>
        <v>No</v>
      </c>
      <c r="K357" s="35"/>
      <c r="L357" s="35"/>
      <c r="M357" s="35"/>
      <c r="N357" s="4"/>
      <c r="O357" s="4"/>
      <c r="P357" s="50"/>
      <c r="Q357" s="50"/>
      <c r="R357" s="50"/>
      <c r="S357" s="51"/>
      <c r="T357" s="4"/>
      <c r="U357" s="4"/>
    </row>
    <row r="358" ht="18.0" customHeight="1">
      <c r="A358" s="35"/>
      <c r="B358" s="37" t="s">
        <v>492</v>
      </c>
      <c r="C358" s="38">
        <v>44908.0</v>
      </c>
      <c r="D358" s="37">
        <v>30.0</v>
      </c>
      <c r="E358" s="37">
        <v>50.0</v>
      </c>
      <c r="F358" s="37">
        <v>95.68</v>
      </c>
      <c r="G358" s="39">
        <v>8644.78</v>
      </c>
      <c r="H358" s="37" t="s">
        <v>66</v>
      </c>
      <c r="I358" s="52" t="s">
        <v>42</v>
      </c>
      <c r="J358" s="37" t="str">
        <f t="shared" si="4"/>
        <v>No</v>
      </c>
      <c r="K358" s="35"/>
      <c r="L358" s="35"/>
      <c r="M358" s="35"/>
      <c r="N358" s="4"/>
      <c r="O358" s="4"/>
      <c r="P358" s="50"/>
      <c r="Q358" s="50"/>
      <c r="R358" s="50"/>
      <c r="S358" s="51"/>
      <c r="T358" s="4"/>
      <c r="U358" s="4"/>
    </row>
    <row r="359" ht="18.0" customHeight="1">
      <c r="A359" s="35"/>
      <c r="B359" s="37" t="s">
        <v>493</v>
      </c>
      <c r="C359" s="38">
        <v>44844.0</v>
      </c>
      <c r="D359" s="37">
        <v>73.0</v>
      </c>
      <c r="E359" s="37">
        <v>591.0</v>
      </c>
      <c r="F359" s="37">
        <v>247.61</v>
      </c>
      <c r="G359" s="39">
        <v>1570.56</v>
      </c>
      <c r="H359" s="37" t="s">
        <v>68</v>
      </c>
      <c r="I359" s="52" t="s">
        <v>38</v>
      </c>
      <c r="J359" s="37" t="str">
        <f t="shared" si="4"/>
        <v>No</v>
      </c>
      <c r="K359" s="35"/>
      <c r="L359" s="35"/>
      <c r="M359" s="35"/>
      <c r="N359" s="4"/>
      <c r="O359" s="4"/>
      <c r="P359" s="50"/>
      <c r="Q359" s="50"/>
      <c r="R359" s="50"/>
      <c r="S359" s="51"/>
      <c r="T359" s="4"/>
      <c r="U359" s="4"/>
    </row>
    <row r="360" ht="18.0" customHeight="1">
      <c r="A360" s="35"/>
      <c r="B360" s="37" t="s">
        <v>494</v>
      </c>
      <c r="C360" s="38">
        <v>44859.0</v>
      </c>
      <c r="D360" s="37">
        <v>3.0</v>
      </c>
      <c r="E360" s="37">
        <v>592.0</v>
      </c>
      <c r="F360" s="37">
        <v>159.76</v>
      </c>
      <c r="G360" s="39">
        <v>7018.04</v>
      </c>
      <c r="H360" s="37" t="s">
        <v>71</v>
      </c>
      <c r="I360" s="52" t="s">
        <v>42</v>
      </c>
      <c r="J360" s="37" t="str">
        <f t="shared" si="4"/>
        <v>No</v>
      </c>
      <c r="K360" s="35"/>
      <c r="L360" s="35"/>
      <c r="M360" s="35"/>
      <c r="N360" s="4"/>
      <c r="O360" s="4"/>
      <c r="P360" s="50"/>
      <c r="Q360" s="50"/>
      <c r="R360" s="50"/>
      <c r="S360" s="51"/>
      <c r="T360" s="4"/>
      <c r="U360" s="4"/>
    </row>
    <row r="361" ht="18.0" customHeight="1">
      <c r="A361" s="35"/>
      <c r="B361" s="37" t="s">
        <v>495</v>
      </c>
      <c r="C361" s="38">
        <v>44610.0</v>
      </c>
      <c r="D361" s="37">
        <v>27.0</v>
      </c>
      <c r="E361" s="37">
        <v>660.0</v>
      </c>
      <c r="F361" s="37">
        <v>128.44</v>
      </c>
      <c r="G361" s="39">
        <v>5526.2</v>
      </c>
      <c r="H361" s="37" t="s">
        <v>496</v>
      </c>
      <c r="I361" s="52" t="s">
        <v>50</v>
      </c>
      <c r="J361" s="37" t="str">
        <f t="shared" si="4"/>
        <v>No</v>
      </c>
      <c r="K361" s="35"/>
      <c r="L361" s="35"/>
      <c r="M361" s="35"/>
      <c r="N361" s="4"/>
      <c r="O361" s="4"/>
      <c r="P361" s="50"/>
      <c r="Q361" s="50"/>
      <c r="R361" s="50"/>
      <c r="S361" s="51"/>
      <c r="T361" s="4"/>
      <c r="U361" s="4"/>
    </row>
    <row r="362" ht="18.0" customHeight="1">
      <c r="A362" s="35"/>
      <c r="B362" s="37" t="s">
        <v>497</v>
      </c>
      <c r="C362" s="38">
        <v>44767.0</v>
      </c>
      <c r="D362" s="37">
        <v>86.0</v>
      </c>
      <c r="E362" s="37">
        <v>25.0</v>
      </c>
      <c r="F362" s="37">
        <v>20.79</v>
      </c>
      <c r="G362" s="39">
        <v>8188.11</v>
      </c>
      <c r="H362" s="37" t="s">
        <v>498</v>
      </c>
      <c r="I362" s="52" t="s">
        <v>50</v>
      </c>
      <c r="J362" s="37" t="str">
        <f t="shared" si="4"/>
        <v>No</v>
      </c>
      <c r="K362" s="35"/>
      <c r="L362" s="35"/>
      <c r="M362" s="35"/>
      <c r="N362" s="4"/>
      <c r="O362" s="4"/>
      <c r="P362" s="50"/>
      <c r="Q362" s="50"/>
      <c r="R362" s="50"/>
      <c r="S362" s="51"/>
      <c r="T362" s="4"/>
      <c r="U362" s="4"/>
    </row>
    <row r="363" ht="18.0" customHeight="1">
      <c r="A363" s="35"/>
      <c r="B363" s="37" t="s">
        <v>499</v>
      </c>
      <c r="C363" s="38">
        <v>44751.0</v>
      </c>
      <c r="D363" s="37">
        <v>39.0</v>
      </c>
      <c r="E363" s="37">
        <v>343.0</v>
      </c>
      <c r="F363" s="37">
        <v>30.69</v>
      </c>
      <c r="G363" s="39">
        <v>4206.34</v>
      </c>
      <c r="H363" s="37" t="s">
        <v>500</v>
      </c>
      <c r="I363" s="52" t="s">
        <v>38</v>
      </c>
      <c r="J363" s="37" t="str">
        <f t="shared" si="4"/>
        <v>No</v>
      </c>
      <c r="K363" s="35"/>
      <c r="L363" s="35"/>
      <c r="M363" s="35"/>
      <c r="N363" s="4"/>
      <c r="O363" s="4"/>
      <c r="P363" s="50"/>
      <c r="Q363" s="50"/>
      <c r="R363" s="50"/>
      <c r="S363" s="51"/>
      <c r="T363" s="4"/>
      <c r="U363" s="4"/>
    </row>
    <row r="364" ht="18.0" customHeight="1">
      <c r="A364" s="35"/>
      <c r="B364" s="37" t="s">
        <v>40</v>
      </c>
      <c r="C364" s="38">
        <v>44620.0</v>
      </c>
      <c r="D364" s="37">
        <v>82.0</v>
      </c>
      <c r="E364" s="37">
        <v>17.0</v>
      </c>
      <c r="F364" s="37">
        <v>188.98</v>
      </c>
      <c r="G364" s="39">
        <v>162.09</v>
      </c>
      <c r="H364" s="37" t="s">
        <v>501</v>
      </c>
      <c r="I364" s="52" t="s">
        <v>50</v>
      </c>
      <c r="J364" s="37" t="str">
        <f t="shared" si="4"/>
        <v>No</v>
      </c>
      <c r="K364" s="35"/>
      <c r="L364" s="35"/>
      <c r="M364" s="35"/>
      <c r="N364" s="4"/>
      <c r="O364" s="4"/>
      <c r="P364" s="50"/>
      <c r="Q364" s="50"/>
      <c r="R364" s="50"/>
      <c r="S364" s="51"/>
      <c r="T364" s="4"/>
      <c r="U364" s="4"/>
    </row>
    <row r="365" ht="18.0" customHeight="1">
      <c r="A365" s="35"/>
      <c r="B365" s="37" t="s">
        <v>502</v>
      </c>
      <c r="C365" s="38">
        <v>44843.0</v>
      </c>
      <c r="D365" s="37">
        <v>63.0</v>
      </c>
      <c r="E365" s="37">
        <v>257.0</v>
      </c>
      <c r="F365" s="37">
        <v>205.46</v>
      </c>
      <c r="G365" s="39">
        <v>8720.44</v>
      </c>
      <c r="H365" s="37" t="s">
        <v>503</v>
      </c>
      <c r="I365" s="52" t="s">
        <v>42</v>
      </c>
      <c r="J365" s="37" t="str">
        <f t="shared" si="4"/>
        <v>No</v>
      </c>
      <c r="K365" s="35"/>
      <c r="L365" s="35"/>
      <c r="M365" s="35"/>
      <c r="N365" s="4"/>
      <c r="O365" s="4"/>
      <c r="P365" s="50"/>
      <c r="Q365" s="50"/>
      <c r="R365" s="50"/>
      <c r="S365" s="51"/>
      <c r="T365" s="4"/>
      <c r="U365" s="4"/>
    </row>
    <row r="366" ht="18.0" customHeight="1">
      <c r="A366" s="35"/>
      <c r="B366" s="37" t="s">
        <v>504</v>
      </c>
      <c r="C366" s="38">
        <v>44862.0</v>
      </c>
      <c r="D366" s="37">
        <v>38.0</v>
      </c>
      <c r="E366" s="37">
        <v>971.0</v>
      </c>
      <c r="F366" s="37">
        <v>98.26</v>
      </c>
      <c r="G366" s="39">
        <v>6941.34</v>
      </c>
      <c r="H366" s="37" t="s">
        <v>505</v>
      </c>
      <c r="I366" s="52" t="s">
        <v>42</v>
      </c>
      <c r="J366" s="37" t="str">
        <f t="shared" si="4"/>
        <v>No</v>
      </c>
      <c r="K366" s="35"/>
      <c r="L366" s="35"/>
      <c r="M366" s="35"/>
      <c r="N366" s="4"/>
      <c r="O366" s="4"/>
      <c r="P366" s="50"/>
      <c r="Q366" s="50"/>
      <c r="R366" s="50"/>
      <c r="S366" s="51"/>
      <c r="T366" s="4"/>
      <c r="U366" s="4"/>
    </row>
    <row r="367" ht="18.0" customHeight="1">
      <c r="A367" s="35"/>
      <c r="B367" s="37" t="s">
        <v>506</v>
      </c>
      <c r="C367" s="38">
        <v>44853.0</v>
      </c>
      <c r="D367" s="37">
        <v>91.0</v>
      </c>
      <c r="E367" s="37">
        <v>75.0</v>
      </c>
      <c r="F367" s="37">
        <v>226.13</v>
      </c>
      <c r="G367" s="39">
        <v>8340.08</v>
      </c>
      <c r="H367" s="37" t="s">
        <v>507</v>
      </c>
      <c r="I367" s="52" t="s">
        <v>50</v>
      </c>
      <c r="J367" s="37" t="str">
        <f t="shared" si="4"/>
        <v>No</v>
      </c>
      <c r="K367" s="35"/>
      <c r="L367" s="35"/>
      <c r="M367" s="35"/>
      <c r="N367" s="4"/>
      <c r="O367" s="4"/>
      <c r="P367" s="50"/>
      <c r="Q367" s="50"/>
      <c r="R367" s="50"/>
      <c r="S367" s="51"/>
      <c r="T367" s="4"/>
      <c r="U367" s="4"/>
    </row>
    <row r="368" ht="18.0" customHeight="1">
      <c r="A368" s="35"/>
      <c r="B368" s="37" t="s">
        <v>508</v>
      </c>
      <c r="C368" s="38">
        <v>44692.0</v>
      </c>
      <c r="D368" s="37">
        <v>96.0</v>
      </c>
      <c r="E368" s="37">
        <v>184.0</v>
      </c>
      <c r="F368" s="37">
        <v>26.68</v>
      </c>
      <c r="G368" s="39">
        <v>4799.14</v>
      </c>
      <c r="H368" s="37" t="s">
        <v>509</v>
      </c>
      <c r="I368" s="52" t="s">
        <v>42</v>
      </c>
      <c r="J368" s="37" t="str">
        <f t="shared" si="4"/>
        <v>No</v>
      </c>
      <c r="K368" s="35"/>
      <c r="L368" s="35"/>
      <c r="M368" s="35"/>
      <c r="N368" s="4"/>
      <c r="O368" s="4"/>
      <c r="P368" s="50"/>
      <c r="Q368" s="50"/>
      <c r="R368" s="50"/>
      <c r="S368" s="51"/>
      <c r="T368" s="4"/>
      <c r="U368" s="4"/>
    </row>
    <row r="369" ht="18.0" customHeight="1">
      <c r="A369" s="35"/>
      <c r="B369" s="37" t="s">
        <v>510</v>
      </c>
      <c r="C369" s="38">
        <v>44885.0</v>
      </c>
      <c r="D369" s="37">
        <v>41.0</v>
      </c>
      <c r="E369" s="37">
        <v>298.0</v>
      </c>
      <c r="F369" s="37">
        <v>181.94</v>
      </c>
      <c r="G369" s="39">
        <v>2285.01</v>
      </c>
      <c r="H369" s="37" t="s">
        <v>511</v>
      </c>
      <c r="I369" s="52" t="s">
        <v>42</v>
      </c>
      <c r="J369" s="37" t="str">
        <f t="shared" si="4"/>
        <v>No</v>
      </c>
      <c r="K369" s="35"/>
      <c r="L369" s="35"/>
      <c r="M369" s="35"/>
      <c r="N369" s="4"/>
      <c r="O369" s="4"/>
      <c r="P369" s="50"/>
      <c r="Q369" s="50"/>
      <c r="R369" s="50"/>
      <c r="S369" s="51"/>
      <c r="T369" s="4"/>
      <c r="U369" s="4"/>
    </row>
    <row r="370" ht="18.0" customHeight="1">
      <c r="A370" s="35"/>
      <c r="B370" s="37" t="s">
        <v>512</v>
      </c>
      <c r="C370" s="38">
        <v>44888.0</v>
      </c>
      <c r="D370" s="37">
        <v>24.0</v>
      </c>
      <c r="E370" s="37">
        <v>817.0</v>
      </c>
      <c r="F370" s="37">
        <v>164.31</v>
      </c>
      <c r="G370" s="39">
        <v>3382.11</v>
      </c>
      <c r="H370" s="37" t="s">
        <v>513</v>
      </c>
      <c r="I370" s="52" t="s">
        <v>42</v>
      </c>
      <c r="J370" s="37" t="str">
        <f t="shared" si="4"/>
        <v>No</v>
      </c>
      <c r="K370" s="35"/>
      <c r="L370" s="35"/>
      <c r="M370" s="35"/>
      <c r="N370" s="4"/>
      <c r="O370" s="4"/>
      <c r="P370" s="50"/>
      <c r="Q370" s="50"/>
      <c r="R370" s="50"/>
      <c r="S370" s="51"/>
      <c r="T370" s="4"/>
      <c r="U370" s="4"/>
    </row>
    <row r="371" ht="18.0" customHeight="1">
      <c r="A371" s="35"/>
      <c r="B371" s="37" t="s">
        <v>514</v>
      </c>
      <c r="C371" s="38">
        <v>44745.0</v>
      </c>
      <c r="D371" s="37">
        <v>13.0</v>
      </c>
      <c r="E371" s="37">
        <v>315.0</v>
      </c>
      <c r="F371" s="37">
        <v>162.03</v>
      </c>
      <c r="G371" s="39">
        <v>4712.74</v>
      </c>
      <c r="H371" s="37" t="s">
        <v>515</v>
      </c>
      <c r="I371" s="52" t="s">
        <v>38</v>
      </c>
      <c r="J371" s="37" t="str">
        <f t="shared" si="4"/>
        <v>No</v>
      </c>
      <c r="K371" s="35"/>
      <c r="L371" s="35"/>
      <c r="M371" s="35"/>
      <c r="N371" s="4"/>
      <c r="O371" s="4"/>
      <c r="P371" s="50"/>
      <c r="Q371" s="50"/>
      <c r="R371" s="50"/>
      <c r="S371" s="51"/>
      <c r="T371" s="4"/>
      <c r="U371" s="4"/>
    </row>
    <row r="372" ht="18.0" customHeight="1">
      <c r="A372" s="35"/>
      <c r="B372" s="37" t="s">
        <v>17</v>
      </c>
      <c r="C372" s="38">
        <v>44688.0</v>
      </c>
      <c r="D372" s="37">
        <v>46.0</v>
      </c>
      <c r="E372" s="37">
        <v>176.0</v>
      </c>
      <c r="F372" s="37">
        <v>179.02</v>
      </c>
      <c r="G372" s="39">
        <v>3774.88</v>
      </c>
      <c r="H372" s="37" t="s">
        <v>516</v>
      </c>
      <c r="I372" s="52" t="s">
        <v>50</v>
      </c>
      <c r="J372" s="37" t="str">
        <f t="shared" si="4"/>
        <v>No</v>
      </c>
      <c r="K372" s="35"/>
      <c r="L372" s="35"/>
      <c r="M372" s="35"/>
      <c r="N372" s="4"/>
      <c r="O372" s="4"/>
      <c r="P372" s="50"/>
      <c r="Q372" s="50"/>
      <c r="R372" s="50"/>
      <c r="S372" s="51"/>
      <c r="T372" s="4"/>
      <c r="U372" s="4"/>
    </row>
    <row r="373" ht="18.0" customHeight="1">
      <c r="A373" s="35"/>
      <c r="B373" s="37" t="s">
        <v>517</v>
      </c>
      <c r="C373" s="38">
        <v>44828.0</v>
      </c>
      <c r="D373" s="37">
        <v>64.0</v>
      </c>
      <c r="E373" s="37">
        <v>563.0</v>
      </c>
      <c r="F373" s="37">
        <v>144.41</v>
      </c>
      <c r="G373" s="39">
        <v>816.29</v>
      </c>
      <c r="H373" s="37" t="s">
        <v>518</v>
      </c>
      <c r="I373" s="52" t="s">
        <v>50</v>
      </c>
      <c r="J373" s="37" t="str">
        <f t="shared" si="4"/>
        <v>No</v>
      </c>
      <c r="K373" s="35"/>
      <c r="L373" s="35"/>
      <c r="M373" s="35"/>
      <c r="N373" s="4"/>
      <c r="O373" s="4"/>
      <c r="P373" s="50"/>
      <c r="Q373" s="50"/>
      <c r="R373" s="50"/>
      <c r="S373" s="51"/>
      <c r="T373" s="4"/>
      <c r="U373" s="4"/>
    </row>
    <row r="374" ht="18.0" customHeight="1">
      <c r="A374" s="35"/>
      <c r="B374" s="37" t="s">
        <v>519</v>
      </c>
      <c r="C374" s="38">
        <v>44696.0</v>
      </c>
      <c r="D374" s="37">
        <v>60.0</v>
      </c>
      <c r="E374" s="37">
        <v>417.0</v>
      </c>
      <c r="F374" s="37">
        <v>95.32</v>
      </c>
      <c r="G374" s="39">
        <v>2010.34</v>
      </c>
      <c r="H374" s="37" t="s">
        <v>520</v>
      </c>
      <c r="I374" s="52" t="s">
        <v>38</v>
      </c>
      <c r="J374" s="37" t="str">
        <f t="shared" si="4"/>
        <v>No</v>
      </c>
      <c r="K374" s="35"/>
      <c r="L374" s="35"/>
      <c r="M374" s="35"/>
      <c r="N374" s="4"/>
      <c r="O374" s="4"/>
      <c r="P374" s="50"/>
      <c r="Q374" s="50"/>
      <c r="R374" s="50"/>
      <c r="S374" s="51"/>
      <c r="T374" s="4"/>
      <c r="U374" s="4"/>
    </row>
    <row r="375" ht="18.0" customHeight="1">
      <c r="A375" s="35"/>
      <c r="B375" s="37" t="s">
        <v>521</v>
      </c>
      <c r="C375" s="38">
        <v>44636.0</v>
      </c>
      <c r="D375" s="37">
        <v>100.0</v>
      </c>
      <c r="E375" s="37">
        <v>781.0</v>
      </c>
      <c r="F375" s="37">
        <v>124.42</v>
      </c>
      <c r="G375" s="39">
        <v>3727.47</v>
      </c>
      <c r="H375" s="37" t="s">
        <v>522</v>
      </c>
      <c r="I375" s="52" t="s">
        <v>42</v>
      </c>
      <c r="J375" s="37" t="str">
        <f t="shared" si="4"/>
        <v>No</v>
      </c>
      <c r="K375" s="35"/>
      <c r="L375" s="35"/>
      <c r="M375" s="35"/>
      <c r="N375" s="4"/>
      <c r="O375" s="4"/>
      <c r="P375" s="50"/>
      <c r="Q375" s="50"/>
      <c r="R375" s="50"/>
      <c r="S375" s="51"/>
      <c r="T375" s="4"/>
      <c r="U375" s="4"/>
    </row>
    <row r="376" ht="18.0" customHeight="1">
      <c r="A376" s="35"/>
      <c r="B376" s="37" t="s">
        <v>523</v>
      </c>
      <c r="C376" s="38">
        <v>44697.0</v>
      </c>
      <c r="D376" s="37">
        <v>15.0</v>
      </c>
      <c r="E376" s="37">
        <v>444.0</v>
      </c>
      <c r="F376" s="37">
        <v>60.02</v>
      </c>
      <c r="G376" s="39">
        <v>3613.93</v>
      </c>
      <c r="H376" s="37" t="s">
        <v>524</v>
      </c>
      <c r="I376" s="52" t="s">
        <v>42</v>
      </c>
      <c r="J376" s="37" t="str">
        <f t="shared" si="4"/>
        <v>No</v>
      </c>
      <c r="K376" s="35"/>
      <c r="L376" s="35"/>
      <c r="M376" s="35"/>
      <c r="N376" s="4"/>
      <c r="O376" s="4"/>
      <c r="P376" s="50"/>
      <c r="Q376" s="50"/>
      <c r="R376" s="50"/>
      <c r="S376" s="51"/>
      <c r="T376" s="4"/>
      <c r="U376" s="4"/>
    </row>
    <row r="377" ht="18.0" customHeight="1">
      <c r="A377" s="35"/>
      <c r="B377" s="37" t="s">
        <v>525</v>
      </c>
      <c r="C377" s="38">
        <v>44595.0</v>
      </c>
      <c r="D377" s="37">
        <v>69.0</v>
      </c>
      <c r="E377" s="37">
        <v>829.0</v>
      </c>
      <c r="F377" s="37">
        <v>241.09</v>
      </c>
      <c r="G377" s="39">
        <v>362.17</v>
      </c>
      <c r="H377" s="37" t="s">
        <v>526</v>
      </c>
      <c r="I377" s="52" t="s">
        <v>42</v>
      </c>
      <c r="J377" s="37" t="str">
        <f t="shared" si="4"/>
        <v>No</v>
      </c>
      <c r="K377" s="35"/>
      <c r="L377" s="35"/>
      <c r="M377" s="35"/>
      <c r="N377" s="4"/>
      <c r="O377" s="4"/>
      <c r="P377" s="50"/>
      <c r="Q377" s="50"/>
      <c r="R377" s="50"/>
      <c r="S377" s="51"/>
      <c r="T377" s="4"/>
      <c r="U377" s="4"/>
    </row>
    <row r="378" ht="18.0" customHeight="1">
      <c r="A378" s="35"/>
      <c r="B378" s="37" t="s">
        <v>527</v>
      </c>
      <c r="C378" s="38">
        <v>44797.0</v>
      </c>
      <c r="D378" s="37">
        <v>13.0</v>
      </c>
      <c r="E378" s="37">
        <v>600.0</v>
      </c>
      <c r="F378" s="37">
        <v>80.75</v>
      </c>
      <c r="G378" s="39">
        <v>1043.61</v>
      </c>
      <c r="H378" s="37" t="s">
        <v>528</v>
      </c>
      <c r="I378" s="52" t="s">
        <v>50</v>
      </c>
      <c r="J378" s="37" t="str">
        <f t="shared" si="4"/>
        <v>No</v>
      </c>
      <c r="K378" s="35"/>
      <c r="L378" s="35"/>
      <c r="M378" s="35"/>
      <c r="N378" s="4"/>
      <c r="O378" s="4"/>
      <c r="P378" s="50"/>
      <c r="Q378" s="50"/>
      <c r="R378" s="50"/>
      <c r="S378" s="51"/>
      <c r="T378" s="4"/>
      <c r="U378" s="4"/>
    </row>
    <row r="379" ht="18.0" customHeight="1">
      <c r="A379" s="35"/>
      <c r="B379" s="37" t="s">
        <v>529</v>
      </c>
      <c r="C379" s="38">
        <v>44911.0</v>
      </c>
      <c r="D379" s="37">
        <v>67.0</v>
      </c>
      <c r="E379" s="37">
        <v>93.0</v>
      </c>
      <c r="F379" s="37">
        <v>112.6</v>
      </c>
      <c r="G379" s="39">
        <v>2231.06</v>
      </c>
      <c r="H379" s="37" t="s">
        <v>530</v>
      </c>
      <c r="I379" s="52" t="s">
        <v>42</v>
      </c>
      <c r="J379" s="37" t="str">
        <f t="shared" si="4"/>
        <v>No</v>
      </c>
      <c r="K379" s="35"/>
      <c r="L379" s="35"/>
      <c r="M379" s="35"/>
      <c r="N379" s="4"/>
      <c r="O379" s="4"/>
      <c r="P379" s="50"/>
      <c r="Q379" s="50"/>
      <c r="R379" s="50"/>
      <c r="S379" s="51"/>
      <c r="T379" s="4"/>
      <c r="U379" s="4"/>
    </row>
    <row r="380" ht="18.0" customHeight="1">
      <c r="A380" s="35"/>
      <c r="B380" s="37" t="s">
        <v>531</v>
      </c>
      <c r="C380" s="38">
        <v>44894.0</v>
      </c>
      <c r="D380" s="37">
        <v>85.0</v>
      </c>
      <c r="E380" s="37">
        <v>103.0</v>
      </c>
      <c r="F380" s="37">
        <v>184.14</v>
      </c>
      <c r="G380" s="39">
        <v>5980.37</v>
      </c>
      <c r="H380" s="37" t="s">
        <v>532</v>
      </c>
      <c r="I380" s="52" t="s">
        <v>38</v>
      </c>
      <c r="J380" s="37" t="str">
        <f t="shared" si="4"/>
        <v>No</v>
      </c>
      <c r="K380" s="35"/>
      <c r="L380" s="35"/>
      <c r="M380" s="35"/>
      <c r="N380" s="4"/>
      <c r="O380" s="4"/>
      <c r="P380" s="50"/>
      <c r="Q380" s="50"/>
      <c r="R380" s="50"/>
      <c r="S380" s="51"/>
      <c r="T380" s="4"/>
      <c r="U380" s="4"/>
    </row>
    <row r="381" ht="18.0" customHeight="1">
      <c r="A381" s="35"/>
      <c r="B381" s="37" t="s">
        <v>533</v>
      </c>
      <c r="C381" s="38">
        <v>44910.0</v>
      </c>
      <c r="D381" s="37">
        <v>56.0</v>
      </c>
      <c r="E381" s="37">
        <v>676.0</v>
      </c>
      <c r="F381" s="37">
        <v>123.15</v>
      </c>
      <c r="G381" s="39">
        <v>8648.41</v>
      </c>
      <c r="H381" s="37" t="s">
        <v>534</v>
      </c>
      <c r="I381" s="52" t="s">
        <v>38</v>
      </c>
      <c r="J381" s="37" t="str">
        <f t="shared" si="4"/>
        <v>No</v>
      </c>
      <c r="K381" s="35"/>
      <c r="L381" s="35"/>
      <c r="M381" s="35"/>
      <c r="N381" s="4"/>
      <c r="O381" s="4"/>
      <c r="P381" s="50"/>
      <c r="Q381" s="50"/>
      <c r="R381" s="50"/>
      <c r="S381" s="51"/>
      <c r="T381" s="4"/>
      <c r="U381" s="4"/>
    </row>
    <row r="382" ht="18.0" customHeight="1">
      <c r="A382" s="35"/>
      <c r="B382" s="37" t="s">
        <v>535</v>
      </c>
      <c r="C382" s="38">
        <v>44803.0</v>
      </c>
      <c r="D382" s="37">
        <v>4.0</v>
      </c>
      <c r="E382" s="37">
        <v>356.0</v>
      </c>
      <c r="F382" s="37">
        <v>134.22</v>
      </c>
      <c r="G382" s="39">
        <v>7173.79</v>
      </c>
      <c r="H382" s="37" t="s">
        <v>536</v>
      </c>
      <c r="I382" s="52" t="s">
        <v>38</v>
      </c>
      <c r="J382" s="37" t="str">
        <f t="shared" si="4"/>
        <v>No</v>
      </c>
      <c r="K382" s="35"/>
      <c r="L382" s="35"/>
      <c r="M382" s="35"/>
      <c r="N382" s="4"/>
      <c r="O382" s="4"/>
      <c r="P382" s="50"/>
      <c r="Q382" s="50"/>
      <c r="R382" s="50"/>
      <c r="S382" s="51"/>
      <c r="T382" s="4"/>
      <c r="U382" s="4"/>
    </row>
    <row r="383" ht="18.0" customHeight="1">
      <c r="A383" s="35"/>
      <c r="B383" s="37" t="s">
        <v>537</v>
      </c>
      <c r="C383" s="38">
        <v>44816.0</v>
      </c>
      <c r="D383" s="37">
        <v>24.0</v>
      </c>
      <c r="E383" s="37">
        <v>774.0</v>
      </c>
      <c r="F383" s="37">
        <v>58.07</v>
      </c>
      <c r="G383" s="39">
        <v>5622.47</v>
      </c>
      <c r="H383" s="37" t="s">
        <v>538</v>
      </c>
      <c r="I383" s="52" t="s">
        <v>42</v>
      </c>
      <c r="J383" s="37" t="str">
        <f t="shared" si="4"/>
        <v>No</v>
      </c>
      <c r="K383" s="35"/>
      <c r="L383" s="35"/>
      <c r="M383" s="35"/>
      <c r="N383" s="4"/>
      <c r="O383" s="4"/>
      <c r="P383" s="50"/>
      <c r="Q383" s="50"/>
      <c r="R383" s="50"/>
      <c r="S383" s="51"/>
      <c r="T383" s="4"/>
      <c r="U383" s="4"/>
    </row>
    <row r="384" ht="18.0" customHeight="1">
      <c r="A384" s="35"/>
      <c r="B384" s="37" t="s">
        <v>539</v>
      </c>
      <c r="C384" s="38">
        <v>44613.0</v>
      </c>
      <c r="D384" s="37">
        <v>76.0</v>
      </c>
      <c r="E384" s="37">
        <v>627.0</v>
      </c>
      <c r="F384" s="37">
        <v>32.17</v>
      </c>
      <c r="G384" s="39">
        <v>6175.25</v>
      </c>
      <c r="H384" s="37" t="s">
        <v>540</v>
      </c>
      <c r="I384" s="52" t="s">
        <v>38</v>
      </c>
      <c r="J384" s="37" t="str">
        <f t="shared" si="4"/>
        <v>No</v>
      </c>
      <c r="K384" s="35"/>
      <c r="L384" s="35"/>
      <c r="M384" s="35"/>
      <c r="N384" s="4"/>
      <c r="O384" s="4"/>
      <c r="P384" s="50"/>
      <c r="Q384" s="50"/>
      <c r="R384" s="50"/>
      <c r="S384" s="51"/>
      <c r="T384" s="4"/>
      <c r="U384" s="4"/>
    </row>
    <row r="385" ht="18.0" customHeight="1">
      <c r="A385" s="35"/>
      <c r="B385" s="37" t="s">
        <v>541</v>
      </c>
      <c r="C385" s="38">
        <v>44612.0</v>
      </c>
      <c r="D385" s="37">
        <v>18.0</v>
      </c>
      <c r="E385" s="37">
        <v>953.0</v>
      </c>
      <c r="F385" s="37">
        <v>151.74</v>
      </c>
      <c r="G385" s="39">
        <v>7409.71</v>
      </c>
      <c r="H385" s="37" t="s">
        <v>542</v>
      </c>
      <c r="I385" s="52" t="s">
        <v>38</v>
      </c>
      <c r="J385" s="37" t="str">
        <f t="shared" si="4"/>
        <v>No</v>
      </c>
      <c r="K385" s="35"/>
      <c r="L385" s="35"/>
      <c r="M385" s="35"/>
      <c r="N385" s="4"/>
      <c r="O385" s="4"/>
      <c r="P385" s="50"/>
      <c r="Q385" s="50"/>
      <c r="R385" s="50"/>
      <c r="S385" s="51"/>
      <c r="T385" s="4"/>
      <c r="U385" s="4"/>
    </row>
    <row r="386" ht="18.0" customHeight="1">
      <c r="A386" s="35"/>
      <c r="B386" s="37" t="s">
        <v>543</v>
      </c>
      <c r="C386" s="38">
        <v>44686.0</v>
      </c>
      <c r="D386" s="37">
        <v>40.0</v>
      </c>
      <c r="E386" s="37">
        <v>739.0</v>
      </c>
      <c r="F386" s="37">
        <v>206.43</v>
      </c>
      <c r="G386" s="39">
        <v>1017.63</v>
      </c>
      <c r="H386" s="37" t="s">
        <v>544</v>
      </c>
      <c r="I386" s="52" t="s">
        <v>50</v>
      </c>
      <c r="J386" s="37" t="str">
        <f t="shared" si="4"/>
        <v>No</v>
      </c>
      <c r="K386" s="35"/>
      <c r="L386" s="35"/>
      <c r="M386" s="35"/>
      <c r="N386" s="4"/>
      <c r="O386" s="4"/>
      <c r="P386" s="50"/>
      <c r="Q386" s="50"/>
      <c r="R386" s="50"/>
      <c r="S386" s="51"/>
      <c r="T386" s="4"/>
      <c r="U386" s="4"/>
    </row>
    <row r="387" ht="18.0" customHeight="1">
      <c r="A387" s="35"/>
      <c r="B387" s="37" t="s">
        <v>545</v>
      </c>
      <c r="C387" s="38">
        <v>44736.0</v>
      </c>
      <c r="D387" s="37">
        <v>43.0</v>
      </c>
      <c r="E387" s="37">
        <v>604.0</v>
      </c>
      <c r="F387" s="37">
        <v>96.99</v>
      </c>
      <c r="G387" s="39">
        <v>3922.16</v>
      </c>
      <c r="H387" s="37" t="s">
        <v>546</v>
      </c>
      <c r="I387" s="52" t="s">
        <v>42</v>
      </c>
      <c r="J387" s="37" t="str">
        <f t="shared" si="4"/>
        <v>No</v>
      </c>
      <c r="K387" s="35"/>
      <c r="L387" s="35"/>
      <c r="M387" s="35"/>
      <c r="N387" s="4"/>
      <c r="O387" s="4"/>
      <c r="P387" s="50"/>
      <c r="Q387" s="50"/>
      <c r="R387" s="50"/>
      <c r="S387" s="51"/>
      <c r="T387" s="4"/>
      <c r="U387" s="4"/>
    </row>
    <row r="388" ht="18.0" customHeight="1">
      <c r="A388" s="35"/>
      <c r="B388" s="37" t="s">
        <v>547</v>
      </c>
      <c r="C388" s="38">
        <v>44648.0</v>
      </c>
      <c r="D388" s="37">
        <v>72.0</v>
      </c>
      <c r="E388" s="37">
        <v>364.0</v>
      </c>
      <c r="F388" s="37">
        <v>135.76</v>
      </c>
      <c r="G388" s="39">
        <v>4419.31</v>
      </c>
      <c r="H388" s="37" t="s">
        <v>496</v>
      </c>
      <c r="I388" s="52" t="s">
        <v>50</v>
      </c>
      <c r="J388" s="37" t="str">
        <f t="shared" si="4"/>
        <v>No</v>
      </c>
      <c r="K388" s="35"/>
      <c r="L388" s="35"/>
      <c r="M388" s="35"/>
      <c r="N388" s="4"/>
      <c r="O388" s="4"/>
      <c r="P388" s="50"/>
      <c r="Q388" s="50"/>
      <c r="R388" s="50"/>
      <c r="S388" s="51"/>
      <c r="T388" s="4"/>
      <c r="U388" s="4"/>
    </row>
    <row r="389" ht="18.0" customHeight="1">
      <c r="A389" s="35"/>
      <c r="B389" s="37" t="s">
        <v>548</v>
      </c>
      <c r="C389" s="38">
        <v>44923.0</v>
      </c>
      <c r="D389" s="37">
        <v>5.0</v>
      </c>
      <c r="E389" s="37">
        <v>463.0</v>
      </c>
      <c r="F389" s="37">
        <v>46.34</v>
      </c>
      <c r="G389" s="39">
        <v>1754.8</v>
      </c>
      <c r="H389" s="37" t="s">
        <v>549</v>
      </c>
      <c r="I389" s="52" t="s">
        <v>38</v>
      </c>
      <c r="J389" s="37" t="str">
        <f t="shared" si="4"/>
        <v>No</v>
      </c>
      <c r="K389" s="35"/>
      <c r="L389" s="35"/>
      <c r="M389" s="35"/>
      <c r="N389" s="4"/>
      <c r="O389" s="4"/>
      <c r="P389" s="50"/>
      <c r="Q389" s="50"/>
      <c r="R389" s="50"/>
      <c r="S389" s="51"/>
      <c r="T389" s="4"/>
      <c r="U389" s="4"/>
    </row>
    <row r="390" ht="18.0" customHeight="1">
      <c r="A390" s="35"/>
      <c r="B390" s="37" t="s">
        <v>550</v>
      </c>
      <c r="C390" s="38">
        <v>44845.0</v>
      </c>
      <c r="D390" s="37">
        <v>54.0</v>
      </c>
      <c r="E390" s="37">
        <v>213.0</v>
      </c>
      <c r="F390" s="37">
        <v>27.59</v>
      </c>
      <c r="G390" s="39">
        <v>3173.78</v>
      </c>
      <c r="H390" s="37" t="s">
        <v>551</v>
      </c>
      <c r="I390" s="52" t="s">
        <v>42</v>
      </c>
      <c r="J390" s="37" t="str">
        <f t="shared" si="4"/>
        <v>No</v>
      </c>
      <c r="K390" s="35"/>
      <c r="L390" s="35"/>
      <c r="M390" s="35"/>
      <c r="N390" s="4"/>
      <c r="O390" s="4"/>
      <c r="P390" s="50"/>
      <c r="Q390" s="50"/>
      <c r="R390" s="50"/>
      <c r="S390" s="51"/>
      <c r="T390" s="4"/>
      <c r="U390" s="4"/>
    </row>
    <row r="391" ht="18.0" customHeight="1">
      <c r="A391" s="35"/>
      <c r="B391" s="37" t="s">
        <v>552</v>
      </c>
      <c r="C391" s="38">
        <v>44638.0</v>
      </c>
      <c r="D391" s="37">
        <v>67.0</v>
      </c>
      <c r="E391" s="37">
        <v>792.0</v>
      </c>
      <c r="F391" s="37">
        <v>31.18</v>
      </c>
      <c r="G391" s="39">
        <v>3852.56</v>
      </c>
      <c r="H391" s="37" t="s">
        <v>553</v>
      </c>
      <c r="I391" s="52" t="s">
        <v>50</v>
      </c>
      <c r="J391" s="37" t="str">
        <f t="shared" si="4"/>
        <v>No</v>
      </c>
      <c r="K391" s="35"/>
      <c r="L391" s="35"/>
      <c r="M391" s="35"/>
      <c r="N391" s="4"/>
      <c r="O391" s="4"/>
      <c r="P391" s="50"/>
      <c r="Q391" s="50"/>
      <c r="R391" s="50"/>
      <c r="S391" s="51"/>
      <c r="T391" s="4"/>
      <c r="U391" s="4"/>
    </row>
    <row r="392" ht="18.0" customHeight="1">
      <c r="A392" s="35"/>
      <c r="B392" s="37" t="s">
        <v>554</v>
      </c>
      <c r="C392" s="38">
        <v>44925.0</v>
      </c>
      <c r="D392" s="37">
        <v>20.0</v>
      </c>
      <c r="E392" s="37">
        <v>578.0</v>
      </c>
      <c r="F392" s="37">
        <v>26.0</v>
      </c>
      <c r="G392" s="39">
        <v>8980.35</v>
      </c>
      <c r="H392" s="37" t="s">
        <v>555</v>
      </c>
      <c r="I392" s="52" t="s">
        <v>42</v>
      </c>
      <c r="J392" s="37" t="str">
        <f t="shared" si="4"/>
        <v>No</v>
      </c>
      <c r="K392" s="35"/>
      <c r="L392" s="35"/>
      <c r="M392" s="35"/>
      <c r="N392" s="4"/>
      <c r="O392" s="4"/>
      <c r="P392" s="50"/>
      <c r="Q392" s="50"/>
      <c r="R392" s="50"/>
      <c r="S392" s="51"/>
      <c r="T392" s="4"/>
      <c r="U392" s="4"/>
    </row>
    <row r="393" ht="18.0" customHeight="1">
      <c r="A393" s="35"/>
      <c r="B393" s="37" t="s">
        <v>556</v>
      </c>
      <c r="C393" s="38">
        <v>44802.0</v>
      </c>
      <c r="D393" s="37">
        <v>8.0</v>
      </c>
      <c r="E393" s="37">
        <v>762.0</v>
      </c>
      <c r="F393" s="37">
        <v>163.37</v>
      </c>
      <c r="G393" s="39">
        <v>995.86</v>
      </c>
      <c r="H393" s="37" t="s">
        <v>557</v>
      </c>
      <c r="I393" s="52" t="s">
        <v>42</v>
      </c>
      <c r="J393" s="37" t="str">
        <f t="shared" si="4"/>
        <v>No</v>
      </c>
      <c r="K393" s="35"/>
      <c r="L393" s="35"/>
      <c r="M393" s="35"/>
      <c r="N393" s="4"/>
      <c r="O393" s="4"/>
      <c r="P393" s="50"/>
      <c r="Q393" s="50"/>
      <c r="R393" s="50"/>
      <c r="S393" s="51"/>
      <c r="T393" s="4"/>
      <c r="U393" s="4"/>
    </row>
    <row r="394" ht="18.0" customHeight="1">
      <c r="A394" s="35"/>
      <c r="B394" s="37" t="s">
        <v>558</v>
      </c>
      <c r="C394" s="38">
        <v>44597.0</v>
      </c>
      <c r="D394" s="37">
        <v>81.0</v>
      </c>
      <c r="E394" s="37">
        <v>571.0</v>
      </c>
      <c r="F394" s="37">
        <v>188.7</v>
      </c>
      <c r="G394" s="39">
        <v>9963.9</v>
      </c>
      <c r="H394" s="37" t="s">
        <v>559</v>
      </c>
      <c r="I394" s="52" t="s">
        <v>50</v>
      </c>
      <c r="J394" s="37" t="str">
        <f t="shared" si="4"/>
        <v>No</v>
      </c>
      <c r="K394" s="35"/>
      <c r="L394" s="35"/>
      <c r="M394" s="35"/>
      <c r="N394" s="4"/>
      <c r="O394" s="4"/>
      <c r="P394" s="50"/>
      <c r="Q394" s="50"/>
      <c r="R394" s="50"/>
      <c r="S394" s="51"/>
      <c r="T394" s="4"/>
      <c r="U394" s="4"/>
    </row>
    <row r="395" ht="18.0" customHeight="1">
      <c r="A395" s="35"/>
      <c r="B395" s="37" t="s">
        <v>560</v>
      </c>
      <c r="C395" s="38">
        <v>44680.0</v>
      </c>
      <c r="D395" s="37">
        <v>77.0</v>
      </c>
      <c r="E395" s="37">
        <v>321.0</v>
      </c>
      <c r="F395" s="37">
        <v>236.13</v>
      </c>
      <c r="G395" s="39">
        <v>8891.62</v>
      </c>
      <c r="H395" s="37" t="s">
        <v>561</v>
      </c>
      <c r="I395" s="52" t="s">
        <v>42</v>
      </c>
      <c r="J395" s="37" t="str">
        <f t="shared" si="4"/>
        <v>No</v>
      </c>
      <c r="K395" s="35"/>
      <c r="L395" s="35"/>
      <c r="M395" s="35"/>
      <c r="N395" s="4"/>
      <c r="O395" s="4"/>
      <c r="P395" s="50"/>
      <c r="Q395" s="50"/>
      <c r="R395" s="50"/>
      <c r="S395" s="51"/>
      <c r="T395" s="4"/>
      <c r="U395" s="4"/>
    </row>
    <row r="396" ht="18.0" customHeight="1">
      <c r="A396" s="35"/>
      <c r="B396" s="37" t="s">
        <v>562</v>
      </c>
      <c r="C396" s="38">
        <v>44729.0</v>
      </c>
      <c r="D396" s="37">
        <v>90.0</v>
      </c>
      <c r="E396" s="37">
        <v>712.0</v>
      </c>
      <c r="F396" s="37">
        <v>162.5</v>
      </c>
      <c r="G396" s="39">
        <v>3839.34</v>
      </c>
      <c r="H396" s="37" t="s">
        <v>563</v>
      </c>
      <c r="I396" s="52" t="s">
        <v>38</v>
      </c>
      <c r="J396" s="37" t="str">
        <f t="shared" si="4"/>
        <v>No</v>
      </c>
      <c r="K396" s="35"/>
      <c r="L396" s="35"/>
      <c r="M396" s="35"/>
      <c r="N396" s="4"/>
      <c r="O396" s="4"/>
      <c r="P396" s="50"/>
      <c r="Q396" s="50"/>
      <c r="R396" s="50"/>
      <c r="S396" s="51"/>
      <c r="T396" s="4"/>
      <c r="U396" s="4"/>
    </row>
    <row r="397" ht="18.0" customHeight="1">
      <c r="A397" s="35"/>
      <c r="B397" s="37" t="s">
        <v>564</v>
      </c>
      <c r="C397" s="38">
        <v>44861.0</v>
      </c>
      <c r="D397" s="37">
        <v>41.0</v>
      </c>
      <c r="E397" s="37">
        <v>542.0</v>
      </c>
      <c r="F397" s="37">
        <v>42.77</v>
      </c>
      <c r="G397" s="39">
        <v>7700.18</v>
      </c>
      <c r="H397" s="37" t="s">
        <v>565</v>
      </c>
      <c r="I397" s="52" t="s">
        <v>42</v>
      </c>
      <c r="J397" s="37" t="str">
        <f t="shared" si="4"/>
        <v>No</v>
      </c>
      <c r="K397" s="35"/>
      <c r="L397" s="35"/>
      <c r="M397" s="35"/>
      <c r="N397" s="4"/>
      <c r="O397" s="4"/>
      <c r="P397" s="50"/>
      <c r="Q397" s="50"/>
      <c r="R397" s="50"/>
      <c r="S397" s="51"/>
      <c r="T397" s="4"/>
      <c r="U397" s="4"/>
    </row>
    <row r="398" ht="18.0" customHeight="1">
      <c r="A398" s="35"/>
      <c r="B398" s="37" t="s">
        <v>566</v>
      </c>
      <c r="C398" s="38">
        <v>44813.0</v>
      </c>
      <c r="D398" s="37">
        <v>10.0</v>
      </c>
      <c r="E398" s="37">
        <v>460.0</v>
      </c>
      <c r="F398" s="37">
        <v>75.63</v>
      </c>
      <c r="G398" s="39">
        <v>5673.83</v>
      </c>
      <c r="H398" s="37" t="s">
        <v>567</v>
      </c>
      <c r="I398" s="52" t="s">
        <v>50</v>
      </c>
      <c r="J398" s="37" t="str">
        <f t="shared" si="4"/>
        <v>No</v>
      </c>
      <c r="K398" s="35"/>
      <c r="L398" s="35"/>
      <c r="M398" s="35"/>
      <c r="N398" s="4"/>
      <c r="O398" s="4"/>
      <c r="P398" s="50"/>
      <c r="Q398" s="50"/>
      <c r="R398" s="50"/>
      <c r="S398" s="51"/>
      <c r="T398" s="4"/>
      <c r="U398" s="4"/>
    </row>
    <row r="399" ht="18.0" customHeight="1">
      <c r="A399" s="35"/>
      <c r="B399" s="37" t="s">
        <v>568</v>
      </c>
      <c r="C399" s="38">
        <v>44828.0</v>
      </c>
      <c r="D399" s="37">
        <v>58.0</v>
      </c>
      <c r="E399" s="37">
        <v>817.0</v>
      </c>
      <c r="F399" s="37">
        <v>57.86</v>
      </c>
      <c r="G399" s="39">
        <v>9378.66</v>
      </c>
      <c r="H399" s="37" t="s">
        <v>569</v>
      </c>
      <c r="I399" s="52" t="s">
        <v>42</v>
      </c>
      <c r="J399" s="37" t="str">
        <f t="shared" si="4"/>
        <v>No</v>
      </c>
      <c r="K399" s="35"/>
      <c r="L399" s="35"/>
      <c r="M399" s="35"/>
      <c r="N399" s="4"/>
      <c r="O399" s="4"/>
      <c r="P399" s="50"/>
      <c r="Q399" s="50"/>
      <c r="R399" s="50"/>
      <c r="S399" s="51"/>
      <c r="T399" s="4"/>
      <c r="U399" s="4"/>
    </row>
    <row r="400" ht="18.0" customHeight="1">
      <c r="A400" s="35"/>
      <c r="B400" s="37" t="s">
        <v>570</v>
      </c>
      <c r="C400" s="38">
        <v>44598.0</v>
      </c>
      <c r="D400" s="37">
        <v>29.0</v>
      </c>
      <c r="E400" s="37">
        <v>358.0</v>
      </c>
      <c r="F400" s="37">
        <v>89.25</v>
      </c>
      <c r="G400" s="39">
        <v>2623.46</v>
      </c>
      <c r="H400" s="37" t="s">
        <v>571</v>
      </c>
      <c r="I400" s="52" t="s">
        <v>42</v>
      </c>
      <c r="J400" s="37" t="str">
        <f t="shared" si="4"/>
        <v>No</v>
      </c>
      <c r="K400" s="35"/>
      <c r="L400" s="35"/>
      <c r="M400" s="35"/>
      <c r="N400" s="4"/>
      <c r="O400" s="4"/>
      <c r="P400" s="50"/>
      <c r="Q400" s="50"/>
      <c r="R400" s="50"/>
      <c r="S400" s="51"/>
      <c r="T400" s="4"/>
      <c r="U400" s="4"/>
    </row>
    <row r="401" ht="18.0" customHeight="1">
      <c r="A401" s="35"/>
      <c r="B401" s="37" t="s">
        <v>572</v>
      </c>
      <c r="C401" s="38">
        <v>44899.0</v>
      </c>
      <c r="D401" s="37">
        <v>86.0</v>
      </c>
      <c r="E401" s="37">
        <v>373.0</v>
      </c>
      <c r="F401" s="37">
        <v>224.94</v>
      </c>
      <c r="G401" s="39">
        <v>1854.25</v>
      </c>
      <c r="H401" s="37" t="s">
        <v>573</v>
      </c>
      <c r="I401" s="52" t="s">
        <v>42</v>
      </c>
      <c r="J401" s="37" t="str">
        <f t="shared" si="4"/>
        <v>No</v>
      </c>
      <c r="K401" s="35"/>
      <c r="L401" s="35"/>
      <c r="M401" s="35"/>
      <c r="N401" s="4"/>
      <c r="O401" s="4"/>
      <c r="P401" s="50"/>
      <c r="Q401" s="50"/>
      <c r="R401" s="50"/>
      <c r="S401" s="51"/>
      <c r="T401" s="4"/>
      <c r="U401" s="4"/>
    </row>
    <row r="402" ht="18.0" customHeight="1">
      <c r="A402" s="35"/>
      <c r="B402" s="37" t="s">
        <v>574</v>
      </c>
      <c r="C402" s="38">
        <v>44854.0</v>
      </c>
      <c r="D402" s="37">
        <v>64.0</v>
      </c>
      <c r="E402" s="37">
        <v>327.0</v>
      </c>
      <c r="F402" s="37">
        <v>201.99</v>
      </c>
      <c r="G402" s="39">
        <v>592.08</v>
      </c>
      <c r="H402" s="37" t="s">
        <v>575</v>
      </c>
      <c r="I402" s="52" t="s">
        <v>38</v>
      </c>
      <c r="J402" s="37" t="str">
        <f t="shared" si="4"/>
        <v>No</v>
      </c>
      <c r="K402" s="35"/>
      <c r="L402" s="35"/>
      <c r="M402" s="35"/>
      <c r="N402" s="4"/>
      <c r="O402" s="4"/>
      <c r="P402" s="50"/>
      <c r="Q402" s="50"/>
      <c r="R402" s="50"/>
      <c r="S402" s="51"/>
      <c r="T402" s="4"/>
      <c r="U402" s="4"/>
    </row>
    <row r="403" ht="18.0" customHeight="1">
      <c r="A403" s="35"/>
      <c r="B403" s="37" t="s">
        <v>576</v>
      </c>
      <c r="C403" s="38">
        <v>44704.0</v>
      </c>
      <c r="D403" s="37">
        <v>24.0</v>
      </c>
      <c r="E403" s="37">
        <v>640.0</v>
      </c>
      <c r="F403" s="37">
        <v>111.15</v>
      </c>
      <c r="G403" s="39">
        <v>4746.63</v>
      </c>
      <c r="H403" s="37" t="s">
        <v>577</v>
      </c>
      <c r="I403" s="52" t="s">
        <v>38</v>
      </c>
      <c r="J403" s="37" t="str">
        <f t="shared" si="4"/>
        <v>No</v>
      </c>
      <c r="K403" s="35"/>
      <c r="L403" s="35"/>
      <c r="M403" s="35"/>
      <c r="N403" s="4"/>
      <c r="O403" s="4"/>
      <c r="P403" s="50"/>
      <c r="Q403" s="50"/>
      <c r="R403" s="50"/>
      <c r="S403" s="51"/>
      <c r="T403" s="4"/>
      <c r="U403" s="4"/>
    </row>
    <row r="404" ht="18.0" customHeight="1">
      <c r="A404" s="35"/>
      <c r="B404" s="37" t="s">
        <v>578</v>
      </c>
      <c r="C404" s="38">
        <v>44852.0</v>
      </c>
      <c r="D404" s="37">
        <v>56.0</v>
      </c>
      <c r="E404" s="37">
        <v>822.0</v>
      </c>
      <c r="F404" s="37">
        <v>248.52</v>
      </c>
      <c r="G404" s="39">
        <v>2135.67</v>
      </c>
      <c r="H404" s="37" t="s">
        <v>579</v>
      </c>
      <c r="I404" s="52" t="s">
        <v>50</v>
      </c>
      <c r="J404" s="37" t="str">
        <f t="shared" si="4"/>
        <v>No</v>
      </c>
      <c r="K404" s="35"/>
      <c r="L404" s="35"/>
      <c r="M404" s="35"/>
      <c r="N404" s="4"/>
      <c r="O404" s="4"/>
      <c r="P404" s="50"/>
      <c r="Q404" s="50"/>
      <c r="R404" s="50"/>
      <c r="S404" s="51"/>
      <c r="T404" s="4"/>
      <c r="U404" s="4"/>
    </row>
    <row r="405" ht="18.0" customHeight="1">
      <c r="A405" s="35"/>
      <c r="B405" s="37" t="s">
        <v>580</v>
      </c>
      <c r="C405" s="38">
        <v>44643.0</v>
      </c>
      <c r="D405" s="37">
        <v>30.0</v>
      </c>
      <c r="E405" s="37">
        <v>670.0</v>
      </c>
      <c r="F405" s="37">
        <v>204.06</v>
      </c>
      <c r="G405" s="39">
        <v>6537.62</v>
      </c>
      <c r="H405" s="37" t="s">
        <v>87</v>
      </c>
      <c r="I405" s="52" t="s">
        <v>50</v>
      </c>
      <c r="J405" s="37" t="str">
        <f t="shared" si="4"/>
        <v>No</v>
      </c>
      <c r="K405" s="35"/>
      <c r="L405" s="35"/>
      <c r="M405" s="35"/>
      <c r="N405" s="4"/>
      <c r="O405" s="4"/>
      <c r="P405" s="50"/>
      <c r="Q405" s="50"/>
      <c r="R405" s="50"/>
      <c r="S405" s="51"/>
      <c r="T405" s="4"/>
      <c r="U405" s="4"/>
    </row>
    <row r="406" ht="18.0" customHeight="1">
      <c r="A406" s="35"/>
      <c r="B406" s="37" t="s">
        <v>48</v>
      </c>
      <c r="C406" s="38">
        <v>44705.0</v>
      </c>
      <c r="D406" s="37">
        <v>79.0</v>
      </c>
      <c r="E406" s="37">
        <v>130.0</v>
      </c>
      <c r="F406" s="37">
        <v>180.15</v>
      </c>
      <c r="G406" s="39">
        <v>1907.84</v>
      </c>
      <c r="H406" s="37" t="s">
        <v>37</v>
      </c>
      <c r="I406" s="52" t="s">
        <v>50</v>
      </c>
      <c r="J406" s="37" t="str">
        <f t="shared" si="4"/>
        <v>No</v>
      </c>
      <c r="K406" s="35"/>
      <c r="L406" s="35"/>
      <c r="M406" s="35"/>
      <c r="N406" s="4"/>
      <c r="O406" s="4"/>
      <c r="P406" s="50"/>
      <c r="Q406" s="50"/>
      <c r="R406" s="50"/>
      <c r="S406" s="51"/>
      <c r="T406" s="4"/>
      <c r="U406" s="4"/>
    </row>
    <row r="407" ht="18.0" customHeight="1">
      <c r="A407" s="35"/>
      <c r="B407" s="37" t="s">
        <v>581</v>
      </c>
      <c r="C407" s="38">
        <v>44618.0</v>
      </c>
      <c r="D407" s="37">
        <v>63.0</v>
      </c>
      <c r="E407" s="37">
        <v>835.0</v>
      </c>
      <c r="F407" s="37">
        <v>83.14</v>
      </c>
      <c r="G407" s="39">
        <v>245.86</v>
      </c>
      <c r="H407" s="37" t="s">
        <v>41</v>
      </c>
      <c r="I407" s="52" t="s">
        <v>42</v>
      </c>
      <c r="J407" s="37" t="str">
        <f t="shared" si="4"/>
        <v>No</v>
      </c>
      <c r="K407" s="35"/>
      <c r="L407" s="35"/>
      <c r="M407" s="35"/>
      <c r="N407" s="4"/>
      <c r="O407" s="4"/>
      <c r="P407" s="50"/>
      <c r="Q407" s="50"/>
      <c r="R407" s="50"/>
      <c r="S407" s="51"/>
      <c r="T407" s="4"/>
      <c r="U407" s="4"/>
    </row>
    <row r="408" ht="18.0" customHeight="1">
      <c r="A408" s="35"/>
      <c r="B408" s="37" t="s">
        <v>21</v>
      </c>
      <c r="C408" s="38">
        <v>44646.0</v>
      </c>
      <c r="D408" s="37">
        <v>96.0</v>
      </c>
      <c r="E408" s="37">
        <v>450.0</v>
      </c>
      <c r="F408" s="37">
        <v>244.38</v>
      </c>
      <c r="G408" s="39">
        <v>3785.58</v>
      </c>
      <c r="H408" s="37" t="s">
        <v>45</v>
      </c>
      <c r="I408" s="52" t="s">
        <v>38</v>
      </c>
      <c r="J408" s="37" t="str">
        <f t="shared" si="4"/>
        <v>No</v>
      </c>
      <c r="K408" s="35"/>
      <c r="L408" s="35"/>
      <c r="M408" s="35"/>
      <c r="N408" s="4"/>
      <c r="O408" s="4"/>
      <c r="P408" s="50"/>
      <c r="Q408" s="50"/>
      <c r="R408" s="50"/>
      <c r="S408" s="51"/>
      <c r="T408" s="4"/>
      <c r="U408" s="4"/>
    </row>
    <row r="409" ht="18.0" customHeight="1">
      <c r="A409" s="35"/>
      <c r="B409" s="37" t="s">
        <v>582</v>
      </c>
      <c r="C409" s="38">
        <v>44845.0</v>
      </c>
      <c r="D409" s="37">
        <v>92.0</v>
      </c>
      <c r="E409" s="37">
        <v>207.0</v>
      </c>
      <c r="F409" s="37">
        <v>43.31</v>
      </c>
      <c r="G409" s="39">
        <v>829.14</v>
      </c>
      <c r="H409" s="37" t="s">
        <v>49</v>
      </c>
      <c r="I409" s="52" t="s">
        <v>50</v>
      </c>
      <c r="J409" s="37" t="str">
        <f t="shared" si="4"/>
        <v>No</v>
      </c>
      <c r="K409" s="35"/>
      <c r="L409" s="35"/>
      <c r="M409" s="35"/>
      <c r="N409" s="4"/>
      <c r="O409" s="4"/>
      <c r="P409" s="50"/>
      <c r="Q409" s="50"/>
      <c r="R409" s="50"/>
      <c r="S409" s="51"/>
      <c r="T409" s="4"/>
      <c r="U409" s="4"/>
    </row>
    <row r="410" ht="18.0" customHeight="1">
      <c r="A410" s="35"/>
      <c r="B410" s="37" t="s">
        <v>17</v>
      </c>
      <c r="C410" s="38">
        <v>44595.0</v>
      </c>
      <c r="D410" s="37">
        <v>56.0</v>
      </c>
      <c r="E410" s="37">
        <v>405.0</v>
      </c>
      <c r="F410" s="37">
        <v>132.89</v>
      </c>
      <c r="G410" s="39">
        <v>3057.57</v>
      </c>
      <c r="H410" s="37" t="s">
        <v>53</v>
      </c>
      <c r="I410" s="52" t="s">
        <v>42</v>
      </c>
      <c r="J410" s="37" t="str">
        <f t="shared" si="4"/>
        <v>No</v>
      </c>
      <c r="K410" s="35"/>
      <c r="L410" s="35"/>
      <c r="M410" s="35"/>
      <c r="N410" s="4"/>
      <c r="O410" s="4"/>
      <c r="P410" s="50"/>
      <c r="Q410" s="50"/>
      <c r="R410" s="50"/>
      <c r="S410" s="51"/>
      <c r="T410" s="4"/>
      <c r="U410" s="4"/>
    </row>
    <row r="411" ht="18.0" customHeight="1">
      <c r="A411" s="35"/>
      <c r="B411" s="37" t="s">
        <v>583</v>
      </c>
      <c r="C411" s="38">
        <v>44628.0</v>
      </c>
      <c r="D411" s="37">
        <v>48.0</v>
      </c>
      <c r="E411" s="37">
        <v>754.0</v>
      </c>
      <c r="F411" s="37">
        <v>100.27</v>
      </c>
      <c r="G411" s="39">
        <v>4988.62</v>
      </c>
      <c r="H411" s="37" t="s">
        <v>56</v>
      </c>
      <c r="I411" s="52" t="s">
        <v>38</v>
      </c>
      <c r="J411" s="37" t="str">
        <f t="shared" si="4"/>
        <v>No</v>
      </c>
      <c r="K411" s="35"/>
      <c r="L411" s="35"/>
      <c r="M411" s="35"/>
      <c r="N411" s="4"/>
      <c r="O411" s="4"/>
      <c r="P411" s="50"/>
      <c r="Q411" s="50"/>
      <c r="R411" s="50"/>
      <c r="S411" s="51"/>
      <c r="T411" s="4"/>
      <c r="U411" s="4"/>
    </row>
    <row r="412" ht="18.0" customHeight="1">
      <c r="A412" s="35"/>
      <c r="B412" s="37" t="s">
        <v>584</v>
      </c>
      <c r="C412" s="38">
        <v>44855.0</v>
      </c>
      <c r="D412" s="37">
        <v>79.0</v>
      </c>
      <c r="E412" s="37">
        <v>994.0</v>
      </c>
      <c r="F412" s="37">
        <v>231.62</v>
      </c>
      <c r="G412" s="39">
        <v>5211.89</v>
      </c>
      <c r="H412" s="37" t="s">
        <v>59</v>
      </c>
      <c r="I412" s="52" t="s">
        <v>38</v>
      </c>
      <c r="J412" s="37" t="str">
        <f t="shared" si="4"/>
        <v>No</v>
      </c>
      <c r="K412" s="35"/>
      <c r="L412" s="35"/>
      <c r="M412" s="35"/>
      <c r="N412" s="4"/>
      <c r="O412" s="4"/>
      <c r="P412" s="50"/>
      <c r="Q412" s="50"/>
      <c r="R412" s="50"/>
      <c r="S412" s="51"/>
      <c r="T412" s="4"/>
      <c r="U412" s="4"/>
    </row>
    <row r="413" ht="18.0" customHeight="1">
      <c r="A413" s="35"/>
      <c r="B413" s="37" t="s">
        <v>36</v>
      </c>
      <c r="C413" s="38">
        <v>44663.0</v>
      </c>
      <c r="D413" s="37">
        <v>26.0</v>
      </c>
      <c r="E413" s="37">
        <v>73.0</v>
      </c>
      <c r="F413" s="37">
        <v>153.35</v>
      </c>
      <c r="G413" s="39">
        <v>6709.77</v>
      </c>
      <c r="H413" s="37" t="s">
        <v>61</v>
      </c>
      <c r="I413" s="52" t="s">
        <v>38</v>
      </c>
      <c r="J413" s="37" t="str">
        <f t="shared" si="4"/>
        <v>No</v>
      </c>
      <c r="K413" s="35"/>
      <c r="L413" s="35"/>
      <c r="M413" s="35"/>
      <c r="N413" s="4"/>
      <c r="O413" s="4"/>
      <c r="P413" s="50"/>
      <c r="Q413" s="50"/>
      <c r="R413" s="50"/>
      <c r="S413" s="51"/>
      <c r="T413" s="4"/>
      <c r="U413" s="4"/>
    </row>
    <row r="414" ht="18.0" customHeight="1">
      <c r="A414" s="35"/>
      <c r="B414" s="37" t="s">
        <v>585</v>
      </c>
      <c r="C414" s="38">
        <v>44772.0</v>
      </c>
      <c r="D414" s="37">
        <v>58.0</v>
      </c>
      <c r="E414" s="37">
        <v>100.0</v>
      </c>
      <c r="F414" s="37">
        <v>26.55</v>
      </c>
      <c r="G414" s="39">
        <v>435.67</v>
      </c>
      <c r="H414" s="37" t="s">
        <v>63</v>
      </c>
      <c r="I414" s="52" t="s">
        <v>50</v>
      </c>
      <c r="J414" s="37" t="str">
        <f t="shared" si="4"/>
        <v>No</v>
      </c>
      <c r="K414" s="35"/>
      <c r="L414" s="35"/>
      <c r="M414" s="35"/>
      <c r="N414" s="4"/>
      <c r="O414" s="4"/>
      <c r="P414" s="50"/>
      <c r="Q414" s="50"/>
      <c r="R414" s="50"/>
      <c r="S414" s="51"/>
      <c r="T414" s="4"/>
      <c r="U414" s="4"/>
    </row>
    <row r="415" ht="18.0" customHeight="1">
      <c r="A415" s="35"/>
      <c r="B415" s="37" t="s">
        <v>586</v>
      </c>
      <c r="C415" s="38">
        <v>44811.0</v>
      </c>
      <c r="D415" s="37">
        <v>1.0</v>
      </c>
      <c r="E415" s="37">
        <v>26.0</v>
      </c>
      <c r="F415" s="37">
        <v>108.17</v>
      </c>
      <c r="G415" s="39">
        <v>945.96</v>
      </c>
      <c r="H415" s="37" t="s">
        <v>66</v>
      </c>
      <c r="I415" s="52" t="s">
        <v>42</v>
      </c>
      <c r="J415" s="37" t="str">
        <f t="shared" si="4"/>
        <v>No</v>
      </c>
      <c r="K415" s="35"/>
      <c r="L415" s="35"/>
      <c r="M415" s="35"/>
      <c r="N415" s="4"/>
      <c r="O415" s="4"/>
      <c r="P415" s="50"/>
      <c r="Q415" s="50"/>
      <c r="R415" s="50"/>
      <c r="S415" s="51"/>
      <c r="T415" s="4"/>
      <c r="U415" s="4"/>
    </row>
    <row r="416" ht="18.0" customHeight="1">
      <c r="A416" s="35"/>
      <c r="B416" s="37" t="s">
        <v>587</v>
      </c>
      <c r="C416" s="38">
        <v>44818.0</v>
      </c>
      <c r="D416" s="37">
        <v>35.0</v>
      </c>
      <c r="E416" s="37">
        <v>704.0</v>
      </c>
      <c r="F416" s="37">
        <v>56.1</v>
      </c>
      <c r="G416" s="39">
        <v>430.4</v>
      </c>
      <c r="H416" s="37" t="s">
        <v>68</v>
      </c>
      <c r="I416" s="52" t="s">
        <v>42</v>
      </c>
      <c r="J416" s="37" t="str">
        <f t="shared" si="4"/>
        <v>No</v>
      </c>
      <c r="K416" s="35"/>
      <c r="L416" s="35"/>
      <c r="M416" s="35"/>
      <c r="N416" s="4"/>
      <c r="O416" s="4"/>
      <c r="P416" s="50"/>
      <c r="Q416" s="50"/>
      <c r="R416" s="50"/>
      <c r="S416" s="51"/>
      <c r="T416" s="4"/>
      <c r="U416" s="4"/>
    </row>
    <row r="417" ht="18.0" customHeight="1">
      <c r="A417" s="35"/>
      <c r="B417" s="37" t="s">
        <v>588</v>
      </c>
      <c r="C417" s="38">
        <v>44691.0</v>
      </c>
      <c r="D417" s="37">
        <v>34.0</v>
      </c>
      <c r="E417" s="37">
        <v>555.0</v>
      </c>
      <c r="F417" s="37">
        <v>122.52</v>
      </c>
      <c r="G417" s="39">
        <v>7159.4</v>
      </c>
      <c r="H417" s="37" t="s">
        <v>71</v>
      </c>
      <c r="I417" s="52" t="s">
        <v>38</v>
      </c>
      <c r="J417" s="37" t="str">
        <f t="shared" si="4"/>
        <v>No</v>
      </c>
      <c r="K417" s="35"/>
      <c r="L417" s="35"/>
      <c r="M417" s="35"/>
      <c r="N417" s="4"/>
      <c r="O417" s="4"/>
      <c r="P417" s="50"/>
      <c r="Q417" s="50"/>
      <c r="R417" s="50"/>
      <c r="S417" s="51"/>
      <c r="T417" s="4"/>
      <c r="U417" s="4"/>
    </row>
    <row r="418" ht="18.0" customHeight="1">
      <c r="A418" s="35"/>
      <c r="B418" s="37" t="s">
        <v>589</v>
      </c>
      <c r="C418" s="38">
        <v>44796.0</v>
      </c>
      <c r="D418" s="37">
        <v>69.0</v>
      </c>
      <c r="E418" s="37">
        <v>27.0</v>
      </c>
      <c r="F418" s="37">
        <v>238.61</v>
      </c>
      <c r="G418" s="39">
        <v>1327.75</v>
      </c>
      <c r="H418" s="37" t="s">
        <v>590</v>
      </c>
      <c r="I418" s="52" t="s">
        <v>50</v>
      </c>
      <c r="J418" s="37" t="str">
        <f t="shared" si="4"/>
        <v>No</v>
      </c>
      <c r="K418" s="35"/>
      <c r="L418" s="35"/>
      <c r="M418" s="35"/>
      <c r="N418" s="4"/>
      <c r="O418" s="4"/>
      <c r="P418" s="50"/>
      <c r="Q418" s="50"/>
      <c r="R418" s="50"/>
      <c r="S418" s="51"/>
      <c r="T418" s="4"/>
      <c r="U418" s="4"/>
    </row>
    <row r="419" ht="18.0" customHeight="1">
      <c r="A419" s="35"/>
      <c r="B419" s="37" t="s">
        <v>591</v>
      </c>
      <c r="C419" s="38">
        <v>44720.0</v>
      </c>
      <c r="D419" s="37">
        <v>19.0</v>
      </c>
      <c r="E419" s="37">
        <v>452.0</v>
      </c>
      <c r="F419" s="37">
        <v>241.13</v>
      </c>
      <c r="G419" s="39">
        <v>3524.24</v>
      </c>
      <c r="H419" s="37" t="s">
        <v>592</v>
      </c>
      <c r="I419" s="52" t="s">
        <v>50</v>
      </c>
      <c r="J419" s="37" t="str">
        <f t="shared" si="4"/>
        <v>No</v>
      </c>
      <c r="K419" s="35"/>
      <c r="L419" s="35"/>
      <c r="M419" s="35"/>
      <c r="N419" s="4"/>
      <c r="O419" s="4"/>
      <c r="P419" s="50"/>
      <c r="Q419" s="50"/>
      <c r="R419" s="50"/>
      <c r="S419" s="51"/>
      <c r="T419" s="4"/>
      <c r="U419" s="4"/>
    </row>
    <row r="420" ht="18.0" customHeight="1">
      <c r="A420" s="35"/>
      <c r="B420" s="37" t="s">
        <v>593</v>
      </c>
      <c r="C420" s="38">
        <v>44710.0</v>
      </c>
      <c r="D420" s="37">
        <v>6.0</v>
      </c>
      <c r="E420" s="37">
        <v>758.0</v>
      </c>
      <c r="F420" s="37">
        <v>222.15</v>
      </c>
      <c r="G420" s="39">
        <v>3584.46</v>
      </c>
      <c r="H420" s="37" t="s">
        <v>594</v>
      </c>
      <c r="I420" s="52" t="s">
        <v>50</v>
      </c>
      <c r="J420" s="37" t="str">
        <f t="shared" si="4"/>
        <v>No</v>
      </c>
      <c r="K420" s="35"/>
      <c r="L420" s="35"/>
      <c r="M420" s="35"/>
      <c r="N420" s="4"/>
      <c r="O420" s="4"/>
      <c r="P420" s="50"/>
      <c r="Q420" s="50"/>
      <c r="R420" s="50"/>
      <c r="S420" s="51"/>
      <c r="T420" s="4"/>
      <c r="U420" s="4"/>
    </row>
    <row r="421" ht="18.0" customHeight="1">
      <c r="A421" s="35"/>
      <c r="B421" s="37" t="s">
        <v>595</v>
      </c>
      <c r="C421" s="38">
        <v>44912.0</v>
      </c>
      <c r="D421" s="37">
        <v>42.0</v>
      </c>
      <c r="E421" s="37">
        <v>516.0</v>
      </c>
      <c r="F421" s="37">
        <v>178.84</v>
      </c>
      <c r="G421" s="39">
        <v>2553.15</v>
      </c>
      <c r="H421" s="37" t="s">
        <v>596</v>
      </c>
      <c r="I421" s="52" t="s">
        <v>38</v>
      </c>
      <c r="J421" s="37" t="str">
        <f t="shared" si="4"/>
        <v>No</v>
      </c>
      <c r="K421" s="35"/>
      <c r="L421" s="35"/>
      <c r="M421" s="35"/>
      <c r="N421" s="4"/>
      <c r="O421" s="4"/>
      <c r="P421" s="50"/>
      <c r="Q421" s="50"/>
      <c r="R421" s="50"/>
      <c r="S421" s="51"/>
      <c r="T421" s="4"/>
      <c r="U421" s="4"/>
    </row>
    <row r="422" ht="18.0" customHeight="1">
      <c r="A422" s="35"/>
      <c r="B422" s="37" t="s">
        <v>40</v>
      </c>
      <c r="C422" s="38">
        <v>44837.0</v>
      </c>
      <c r="D422" s="37">
        <v>23.0</v>
      </c>
      <c r="E422" s="37">
        <v>303.0</v>
      </c>
      <c r="F422" s="37">
        <v>244.52</v>
      </c>
      <c r="G422" s="39">
        <v>3703.93</v>
      </c>
      <c r="H422" s="37" t="s">
        <v>597</v>
      </c>
      <c r="I422" s="52" t="s">
        <v>42</v>
      </c>
      <c r="J422" s="37" t="str">
        <f t="shared" si="4"/>
        <v>No</v>
      </c>
      <c r="K422" s="35"/>
      <c r="L422" s="35"/>
      <c r="M422" s="35"/>
      <c r="N422" s="4"/>
      <c r="O422" s="4"/>
      <c r="P422" s="50"/>
      <c r="Q422" s="50"/>
      <c r="R422" s="50"/>
      <c r="S422" s="51"/>
      <c r="T422" s="4"/>
      <c r="U422" s="4"/>
    </row>
    <row r="423" ht="18.0" customHeight="1">
      <c r="A423" s="35"/>
      <c r="B423" s="37" t="s">
        <v>598</v>
      </c>
      <c r="C423" s="38">
        <v>44847.0</v>
      </c>
      <c r="D423" s="37">
        <v>10.0</v>
      </c>
      <c r="E423" s="37">
        <v>255.0</v>
      </c>
      <c r="F423" s="37">
        <v>103.46</v>
      </c>
      <c r="G423" s="39">
        <v>5872.29</v>
      </c>
      <c r="H423" s="37" t="s">
        <v>599</v>
      </c>
      <c r="I423" s="52" t="s">
        <v>50</v>
      </c>
      <c r="J423" s="37" t="str">
        <f t="shared" si="4"/>
        <v>No</v>
      </c>
      <c r="K423" s="35"/>
      <c r="L423" s="35"/>
      <c r="M423" s="35"/>
      <c r="N423" s="4"/>
      <c r="O423" s="4"/>
      <c r="P423" s="50"/>
      <c r="Q423" s="50"/>
      <c r="R423" s="50"/>
      <c r="S423" s="51"/>
      <c r="T423" s="4"/>
      <c r="U423" s="4"/>
    </row>
    <row r="424" ht="18.0" customHeight="1">
      <c r="A424" s="35"/>
      <c r="B424" s="37" t="s">
        <v>600</v>
      </c>
      <c r="C424" s="38">
        <v>44867.0</v>
      </c>
      <c r="D424" s="37">
        <v>31.0</v>
      </c>
      <c r="E424" s="37">
        <v>311.0</v>
      </c>
      <c r="F424" s="37">
        <v>63.43</v>
      </c>
      <c r="G424" s="39">
        <v>3531.31</v>
      </c>
      <c r="H424" s="37" t="s">
        <v>601</v>
      </c>
      <c r="I424" s="52" t="s">
        <v>38</v>
      </c>
      <c r="J424" s="37" t="str">
        <f t="shared" si="4"/>
        <v>No</v>
      </c>
      <c r="K424" s="35"/>
      <c r="L424" s="35"/>
      <c r="M424" s="35"/>
      <c r="N424" s="4"/>
      <c r="O424" s="4"/>
      <c r="P424" s="50"/>
      <c r="Q424" s="50"/>
      <c r="R424" s="50"/>
      <c r="S424" s="51"/>
      <c r="T424" s="4"/>
      <c r="U424" s="4"/>
    </row>
    <row r="425" ht="18.0" customHeight="1">
      <c r="A425" s="35"/>
      <c r="B425" s="37" t="s">
        <v>602</v>
      </c>
      <c r="C425" s="38">
        <v>44919.0</v>
      </c>
      <c r="D425" s="37">
        <v>62.0</v>
      </c>
      <c r="E425" s="37">
        <v>686.0</v>
      </c>
      <c r="F425" s="37">
        <v>198.36</v>
      </c>
      <c r="G425" s="39">
        <v>4391.98</v>
      </c>
      <c r="H425" s="37" t="s">
        <v>478</v>
      </c>
      <c r="I425" s="52" t="s">
        <v>38</v>
      </c>
      <c r="J425" s="37" t="str">
        <f t="shared" si="4"/>
        <v>No</v>
      </c>
      <c r="K425" s="35"/>
      <c r="L425" s="35"/>
      <c r="M425" s="35"/>
      <c r="N425" s="4"/>
      <c r="O425" s="4"/>
      <c r="P425" s="50"/>
      <c r="Q425" s="50"/>
      <c r="R425" s="50"/>
      <c r="S425" s="51"/>
      <c r="T425" s="4"/>
      <c r="U425" s="4"/>
    </row>
    <row r="426" ht="18.0" customHeight="1">
      <c r="A426" s="35"/>
      <c r="B426" s="37" t="s">
        <v>603</v>
      </c>
      <c r="C426" s="38">
        <v>44865.0</v>
      </c>
      <c r="D426" s="37">
        <v>85.0</v>
      </c>
      <c r="E426" s="37">
        <v>932.0</v>
      </c>
      <c r="F426" s="37">
        <v>86.98</v>
      </c>
      <c r="G426" s="39">
        <v>7092.59</v>
      </c>
      <c r="H426" s="37" t="s">
        <v>604</v>
      </c>
      <c r="I426" s="52" t="s">
        <v>50</v>
      </c>
      <c r="J426" s="37" t="str">
        <f t="shared" si="4"/>
        <v>No</v>
      </c>
      <c r="K426" s="35"/>
      <c r="L426" s="35"/>
      <c r="M426" s="35"/>
      <c r="N426" s="4"/>
      <c r="O426" s="4"/>
      <c r="P426" s="50"/>
      <c r="Q426" s="50"/>
      <c r="R426" s="50"/>
      <c r="S426" s="51"/>
      <c r="T426" s="4"/>
      <c r="U426" s="4"/>
    </row>
    <row r="427" ht="18.0" customHeight="1">
      <c r="A427" s="35"/>
      <c r="B427" s="37" t="s">
        <v>605</v>
      </c>
      <c r="C427" s="38">
        <v>44837.0</v>
      </c>
      <c r="D427" s="37">
        <v>90.0</v>
      </c>
      <c r="E427" s="37">
        <v>978.0</v>
      </c>
      <c r="F427" s="37">
        <v>122.12</v>
      </c>
      <c r="G427" s="39">
        <v>4641.83</v>
      </c>
      <c r="H427" s="37" t="s">
        <v>606</v>
      </c>
      <c r="I427" s="52" t="s">
        <v>38</v>
      </c>
      <c r="J427" s="37" t="str">
        <f t="shared" si="4"/>
        <v>No</v>
      </c>
      <c r="K427" s="35"/>
      <c r="L427" s="35"/>
      <c r="M427" s="35"/>
      <c r="N427" s="4"/>
      <c r="O427" s="4"/>
      <c r="P427" s="50"/>
      <c r="Q427" s="50"/>
      <c r="R427" s="50"/>
      <c r="S427" s="51"/>
      <c r="T427" s="4"/>
      <c r="U427" s="4"/>
    </row>
    <row r="428" ht="18.0" customHeight="1">
      <c r="A428" s="35"/>
      <c r="B428" s="37" t="s">
        <v>607</v>
      </c>
      <c r="C428" s="38">
        <v>44914.0</v>
      </c>
      <c r="D428" s="37">
        <v>4.0</v>
      </c>
      <c r="E428" s="37">
        <v>817.0</v>
      </c>
      <c r="F428" s="37">
        <v>162.15</v>
      </c>
      <c r="G428" s="39">
        <v>4691.57</v>
      </c>
      <c r="H428" s="37" t="s">
        <v>608</v>
      </c>
      <c r="I428" s="52" t="s">
        <v>42</v>
      </c>
      <c r="J428" s="37" t="str">
        <f t="shared" si="4"/>
        <v>No</v>
      </c>
      <c r="K428" s="35"/>
      <c r="L428" s="35"/>
      <c r="M428" s="35"/>
      <c r="N428" s="4"/>
      <c r="O428" s="4"/>
      <c r="P428" s="50"/>
      <c r="Q428" s="50"/>
      <c r="R428" s="50"/>
      <c r="S428" s="51"/>
      <c r="T428" s="4"/>
      <c r="U428" s="4"/>
    </row>
    <row r="429" ht="18.0" customHeight="1">
      <c r="A429" s="35"/>
      <c r="B429" s="37" t="s">
        <v>609</v>
      </c>
      <c r="C429" s="38">
        <v>44713.0</v>
      </c>
      <c r="D429" s="37">
        <v>11.0</v>
      </c>
      <c r="E429" s="37">
        <v>798.0</v>
      </c>
      <c r="F429" s="37">
        <v>53.35</v>
      </c>
      <c r="G429" s="39">
        <v>9065.38</v>
      </c>
      <c r="H429" s="37" t="s">
        <v>610</v>
      </c>
      <c r="I429" s="52" t="s">
        <v>38</v>
      </c>
      <c r="J429" s="37" t="str">
        <f t="shared" si="4"/>
        <v>No</v>
      </c>
      <c r="K429" s="35"/>
      <c r="L429" s="35"/>
      <c r="M429" s="35"/>
      <c r="N429" s="4"/>
      <c r="O429" s="4"/>
      <c r="P429" s="50"/>
      <c r="Q429" s="50"/>
      <c r="R429" s="50"/>
      <c r="S429" s="51"/>
      <c r="T429" s="4"/>
      <c r="U429" s="4"/>
    </row>
    <row r="430" ht="18.0" customHeight="1">
      <c r="A430" s="35"/>
      <c r="B430" s="37" t="s">
        <v>611</v>
      </c>
      <c r="C430" s="38">
        <v>44902.0</v>
      </c>
      <c r="D430" s="37">
        <v>97.0</v>
      </c>
      <c r="E430" s="37">
        <v>307.0</v>
      </c>
      <c r="F430" s="37">
        <v>215.48</v>
      </c>
      <c r="G430" s="39">
        <v>4587.18</v>
      </c>
      <c r="H430" s="37" t="s">
        <v>612</v>
      </c>
      <c r="I430" s="52" t="s">
        <v>42</v>
      </c>
      <c r="J430" s="37" t="str">
        <f t="shared" si="4"/>
        <v>No</v>
      </c>
      <c r="K430" s="35"/>
      <c r="L430" s="35"/>
      <c r="M430" s="35"/>
      <c r="N430" s="4"/>
      <c r="O430" s="4"/>
      <c r="P430" s="50"/>
      <c r="Q430" s="50"/>
      <c r="R430" s="50"/>
      <c r="S430" s="51"/>
      <c r="T430" s="4"/>
      <c r="U430" s="4"/>
    </row>
    <row r="431" ht="18.0" customHeight="1">
      <c r="A431" s="35"/>
      <c r="B431" s="37" t="s">
        <v>613</v>
      </c>
      <c r="C431" s="38">
        <v>44607.0</v>
      </c>
      <c r="D431" s="37">
        <v>84.0</v>
      </c>
      <c r="E431" s="37">
        <v>389.0</v>
      </c>
      <c r="F431" s="37">
        <v>241.51</v>
      </c>
      <c r="G431" s="39">
        <v>4887.35</v>
      </c>
      <c r="H431" s="37" t="s">
        <v>614</v>
      </c>
      <c r="I431" s="52" t="s">
        <v>50</v>
      </c>
      <c r="J431" s="37" t="str">
        <f t="shared" si="4"/>
        <v>No</v>
      </c>
      <c r="K431" s="35"/>
      <c r="L431" s="35"/>
      <c r="M431" s="35"/>
      <c r="N431" s="4"/>
      <c r="O431" s="4"/>
      <c r="P431" s="50"/>
      <c r="Q431" s="50"/>
      <c r="R431" s="50"/>
      <c r="S431" s="51"/>
      <c r="T431" s="4"/>
      <c r="U431" s="4"/>
    </row>
    <row r="432" ht="18.0" customHeight="1">
      <c r="A432" s="35"/>
      <c r="B432" s="37" t="s">
        <v>615</v>
      </c>
      <c r="C432" s="38">
        <v>44805.0</v>
      </c>
      <c r="D432" s="37">
        <v>42.0</v>
      </c>
      <c r="E432" s="37">
        <v>321.0</v>
      </c>
      <c r="F432" s="37">
        <v>34.8</v>
      </c>
      <c r="G432" s="39">
        <v>3223.79</v>
      </c>
      <c r="H432" s="37" t="s">
        <v>616</v>
      </c>
      <c r="I432" s="52" t="s">
        <v>42</v>
      </c>
      <c r="J432" s="37" t="str">
        <f t="shared" si="4"/>
        <v>No</v>
      </c>
      <c r="K432" s="35"/>
      <c r="L432" s="35"/>
      <c r="M432" s="35"/>
      <c r="N432" s="4"/>
      <c r="O432" s="4"/>
      <c r="P432" s="50"/>
      <c r="Q432" s="50"/>
      <c r="R432" s="50"/>
      <c r="S432" s="51"/>
      <c r="T432" s="4"/>
      <c r="U432" s="4"/>
    </row>
    <row r="433" ht="18.0" customHeight="1">
      <c r="A433" s="35"/>
      <c r="B433" s="37" t="s">
        <v>617</v>
      </c>
      <c r="C433" s="38">
        <v>44830.0</v>
      </c>
      <c r="D433" s="37">
        <v>95.0</v>
      </c>
      <c r="E433" s="37">
        <v>944.0</v>
      </c>
      <c r="F433" s="37">
        <v>193.41</v>
      </c>
      <c r="G433" s="39">
        <v>9899.5</v>
      </c>
      <c r="H433" s="37" t="s">
        <v>618</v>
      </c>
      <c r="I433" s="52" t="s">
        <v>38</v>
      </c>
      <c r="J433" s="37" t="str">
        <f t="shared" si="4"/>
        <v>No</v>
      </c>
      <c r="K433" s="35"/>
      <c r="L433" s="35"/>
      <c r="M433" s="35"/>
      <c r="N433" s="4"/>
      <c r="O433" s="4"/>
      <c r="P433" s="50"/>
      <c r="Q433" s="50"/>
      <c r="R433" s="50"/>
      <c r="S433" s="51"/>
      <c r="T433" s="4"/>
      <c r="U433" s="4"/>
    </row>
    <row r="434" ht="18.0" customHeight="1">
      <c r="A434" s="35"/>
      <c r="B434" s="37" t="s">
        <v>619</v>
      </c>
      <c r="C434" s="38">
        <v>44746.0</v>
      </c>
      <c r="D434" s="37">
        <v>70.0</v>
      </c>
      <c r="E434" s="37">
        <v>392.0</v>
      </c>
      <c r="F434" s="37">
        <v>86.62</v>
      </c>
      <c r="G434" s="39">
        <v>9165.38</v>
      </c>
      <c r="H434" s="37" t="s">
        <v>620</v>
      </c>
      <c r="I434" s="52" t="s">
        <v>42</v>
      </c>
      <c r="J434" s="37" t="str">
        <f t="shared" si="4"/>
        <v>No</v>
      </c>
      <c r="K434" s="35"/>
      <c r="L434" s="35"/>
      <c r="M434" s="35"/>
      <c r="N434" s="4"/>
      <c r="O434" s="4"/>
      <c r="P434" s="50"/>
      <c r="Q434" s="50"/>
      <c r="R434" s="50"/>
      <c r="S434" s="51"/>
      <c r="T434" s="4"/>
      <c r="U434" s="4"/>
    </row>
    <row r="435" ht="18.0" customHeight="1">
      <c r="A435" s="35"/>
      <c r="B435" s="37" t="s">
        <v>621</v>
      </c>
      <c r="C435" s="38">
        <v>44788.0</v>
      </c>
      <c r="D435" s="37">
        <v>10.0</v>
      </c>
      <c r="E435" s="37">
        <v>13.0</v>
      </c>
      <c r="F435" s="37">
        <v>139.02</v>
      </c>
      <c r="G435" s="39">
        <v>9323.41</v>
      </c>
      <c r="H435" s="37" t="s">
        <v>622</v>
      </c>
      <c r="I435" s="52" t="s">
        <v>42</v>
      </c>
      <c r="J435" s="37" t="str">
        <f t="shared" si="4"/>
        <v>No</v>
      </c>
      <c r="K435" s="35"/>
      <c r="L435" s="35"/>
      <c r="M435" s="35"/>
      <c r="N435" s="4"/>
      <c r="O435" s="4"/>
      <c r="P435" s="50"/>
      <c r="Q435" s="50"/>
      <c r="R435" s="50"/>
      <c r="S435" s="51"/>
      <c r="T435" s="4"/>
      <c r="U435" s="4"/>
    </row>
    <row r="436" ht="18.0" customHeight="1">
      <c r="A436" s="35"/>
      <c r="B436" s="37" t="s">
        <v>623</v>
      </c>
      <c r="C436" s="38">
        <v>44804.0</v>
      </c>
      <c r="D436" s="37">
        <v>60.0</v>
      </c>
      <c r="E436" s="37">
        <v>157.0</v>
      </c>
      <c r="F436" s="37">
        <v>229.45</v>
      </c>
      <c r="G436" s="39">
        <v>4713.2</v>
      </c>
      <c r="H436" s="37" t="s">
        <v>624</v>
      </c>
      <c r="I436" s="52" t="s">
        <v>38</v>
      </c>
      <c r="J436" s="37" t="str">
        <f t="shared" si="4"/>
        <v>No</v>
      </c>
      <c r="K436" s="35"/>
      <c r="L436" s="35"/>
      <c r="M436" s="35"/>
      <c r="N436" s="4"/>
      <c r="O436" s="4"/>
      <c r="P436" s="50"/>
      <c r="Q436" s="50"/>
      <c r="R436" s="50"/>
      <c r="S436" s="51"/>
      <c r="T436" s="4"/>
      <c r="U436" s="4"/>
    </row>
    <row r="437" ht="18.0" customHeight="1">
      <c r="A437" s="35"/>
      <c r="B437" s="37" t="s">
        <v>625</v>
      </c>
      <c r="C437" s="38">
        <v>44709.0</v>
      </c>
      <c r="D437" s="37">
        <v>46.0</v>
      </c>
      <c r="E437" s="37">
        <v>180.0</v>
      </c>
      <c r="F437" s="37">
        <v>144.03</v>
      </c>
      <c r="G437" s="39">
        <v>4023.59</v>
      </c>
      <c r="H437" s="37" t="s">
        <v>626</v>
      </c>
      <c r="I437" s="52" t="s">
        <v>38</v>
      </c>
      <c r="J437" s="37" t="str">
        <f t="shared" si="4"/>
        <v>No</v>
      </c>
      <c r="K437" s="35"/>
      <c r="L437" s="35"/>
      <c r="M437" s="35"/>
      <c r="N437" s="4"/>
      <c r="O437" s="4"/>
      <c r="P437" s="50"/>
      <c r="Q437" s="50"/>
      <c r="R437" s="50"/>
      <c r="S437" s="51"/>
      <c r="T437" s="4"/>
      <c r="U437" s="4"/>
    </row>
    <row r="438" ht="18.0" customHeight="1">
      <c r="A438" s="35"/>
      <c r="B438" s="37" t="s">
        <v>627</v>
      </c>
      <c r="C438" s="38">
        <v>44564.0</v>
      </c>
      <c r="D438" s="37">
        <v>61.0</v>
      </c>
      <c r="E438" s="37">
        <v>420.0</v>
      </c>
      <c r="F438" s="37">
        <v>132.01</v>
      </c>
      <c r="G438" s="39">
        <v>7172.15</v>
      </c>
      <c r="H438" s="37" t="s">
        <v>628</v>
      </c>
      <c r="I438" s="52" t="s">
        <v>38</v>
      </c>
      <c r="J438" s="37" t="str">
        <f t="shared" si="4"/>
        <v>No</v>
      </c>
      <c r="K438" s="35"/>
      <c r="L438" s="35"/>
      <c r="M438" s="35"/>
      <c r="N438" s="4"/>
      <c r="O438" s="4"/>
      <c r="P438" s="50"/>
      <c r="Q438" s="50"/>
      <c r="R438" s="50"/>
      <c r="S438" s="51"/>
      <c r="T438" s="4"/>
      <c r="U438" s="4"/>
    </row>
    <row r="439" ht="18.0" customHeight="1">
      <c r="A439" s="35"/>
      <c r="B439" s="37" t="s">
        <v>629</v>
      </c>
      <c r="C439" s="38">
        <v>44603.0</v>
      </c>
      <c r="D439" s="37">
        <v>51.0</v>
      </c>
      <c r="E439" s="37">
        <v>801.0</v>
      </c>
      <c r="F439" s="37">
        <v>218.5</v>
      </c>
      <c r="G439" s="39">
        <v>2420.32</v>
      </c>
      <c r="H439" s="37" t="s">
        <v>184</v>
      </c>
      <c r="I439" s="52" t="s">
        <v>42</v>
      </c>
      <c r="J439" s="37" t="str">
        <f t="shared" si="4"/>
        <v>No</v>
      </c>
      <c r="K439" s="35"/>
      <c r="L439" s="35"/>
      <c r="M439" s="35"/>
      <c r="N439" s="4"/>
      <c r="O439" s="4"/>
      <c r="P439" s="50"/>
      <c r="Q439" s="50"/>
      <c r="R439" s="50"/>
      <c r="S439" s="51"/>
      <c r="T439" s="4"/>
      <c r="U439" s="4"/>
    </row>
    <row r="440" ht="18.0" customHeight="1">
      <c r="A440" s="35"/>
      <c r="B440" s="37" t="s">
        <v>630</v>
      </c>
      <c r="C440" s="38">
        <v>44849.0</v>
      </c>
      <c r="D440" s="37">
        <v>84.0</v>
      </c>
      <c r="E440" s="37">
        <v>674.0</v>
      </c>
      <c r="F440" s="37">
        <v>134.05</v>
      </c>
      <c r="G440" s="39">
        <v>9146.0</v>
      </c>
      <c r="H440" s="37" t="s">
        <v>631</v>
      </c>
      <c r="I440" s="52" t="s">
        <v>42</v>
      </c>
      <c r="J440" s="37" t="str">
        <f t="shared" si="4"/>
        <v>No</v>
      </c>
      <c r="K440" s="35"/>
      <c r="L440" s="35"/>
      <c r="M440" s="35"/>
      <c r="N440" s="4"/>
      <c r="O440" s="4"/>
      <c r="P440" s="50"/>
      <c r="Q440" s="50"/>
      <c r="R440" s="50"/>
      <c r="S440" s="51"/>
      <c r="T440" s="4"/>
      <c r="U440" s="4"/>
    </row>
    <row r="441" ht="18.0" customHeight="1">
      <c r="A441" s="35"/>
      <c r="B441" s="37" t="s">
        <v>632</v>
      </c>
      <c r="C441" s="38">
        <v>44668.0</v>
      </c>
      <c r="D441" s="37">
        <v>73.0</v>
      </c>
      <c r="E441" s="37">
        <v>616.0</v>
      </c>
      <c r="F441" s="37">
        <v>220.33</v>
      </c>
      <c r="G441" s="39">
        <v>26.67</v>
      </c>
      <c r="H441" s="37" t="s">
        <v>633</v>
      </c>
      <c r="I441" s="52" t="s">
        <v>42</v>
      </c>
      <c r="J441" s="37" t="str">
        <f t="shared" si="4"/>
        <v>No</v>
      </c>
      <c r="K441" s="35"/>
      <c r="L441" s="35"/>
      <c r="M441" s="35"/>
      <c r="N441" s="4"/>
      <c r="O441" s="4"/>
      <c r="P441" s="50"/>
      <c r="Q441" s="50"/>
      <c r="R441" s="50"/>
      <c r="S441" s="51"/>
      <c r="T441" s="4"/>
      <c r="U441" s="4"/>
    </row>
    <row r="442" ht="18.0" customHeight="1">
      <c r="A442" s="35"/>
      <c r="B442" s="37" t="s">
        <v>634</v>
      </c>
      <c r="C442" s="38">
        <v>44734.0</v>
      </c>
      <c r="D442" s="37">
        <v>14.0</v>
      </c>
      <c r="E442" s="37">
        <v>967.0</v>
      </c>
      <c r="F442" s="37">
        <v>205.94</v>
      </c>
      <c r="G442" s="39">
        <v>509.25</v>
      </c>
      <c r="H442" s="37" t="s">
        <v>635</v>
      </c>
      <c r="I442" s="52" t="s">
        <v>50</v>
      </c>
      <c r="J442" s="37" t="str">
        <f t="shared" si="4"/>
        <v>No</v>
      </c>
      <c r="K442" s="35"/>
      <c r="L442" s="35"/>
      <c r="M442" s="35"/>
      <c r="N442" s="4"/>
      <c r="O442" s="4"/>
      <c r="P442" s="50"/>
      <c r="Q442" s="50"/>
      <c r="R442" s="50"/>
      <c r="S442" s="51"/>
      <c r="T442" s="4"/>
      <c r="U442" s="4"/>
    </row>
    <row r="443" ht="18.0" customHeight="1">
      <c r="A443" s="35"/>
      <c r="B443" s="37" t="s">
        <v>636</v>
      </c>
      <c r="C443" s="38">
        <v>44591.0</v>
      </c>
      <c r="D443" s="37">
        <v>78.0</v>
      </c>
      <c r="E443" s="37">
        <v>254.0</v>
      </c>
      <c r="F443" s="37">
        <v>187.73</v>
      </c>
      <c r="G443" s="39">
        <v>1996.34</v>
      </c>
      <c r="H443" s="37" t="s">
        <v>637</v>
      </c>
      <c r="I443" s="52" t="s">
        <v>42</v>
      </c>
      <c r="J443" s="37" t="str">
        <f t="shared" si="4"/>
        <v>No</v>
      </c>
      <c r="K443" s="35"/>
      <c r="L443" s="35"/>
      <c r="M443" s="35"/>
      <c r="N443" s="4"/>
      <c r="O443" s="4"/>
      <c r="P443" s="50"/>
      <c r="Q443" s="50"/>
      <c r="R443" s="50"/>
      <c r="S443" s="51"/>
      <c r="T443" s="4"/>
      <c r="U443" s="4"/>
    </row>
    <row r="444" ht="18.0" customHeight="1">
      <c r="A444" s="35"/>
      <c r="B444" s="37" t="s">
        <v>638</v>
      </c>
      <c r="C444" s="38">
        <v>44576.0</v>
      </c>
      <c r="D444" s="37">
        <v>83.0</v>
      </c>
      <c r="E444" s="37">
        <v>714.0</v>
      </c>
      <c r="F444" s="37">
        <v>230.12</v>
      </c>
      <c r="G444" s="39">
        <v>5388.41</v>
      </c>
      <c r="H444" s="37" t="s">
        <v>639</v>
      </c>
      <c r="I444" s="52" t="s">
        <v>38</v>
      </c>
      <c r="J444" s="37" t="str">
        <f t="shared" si="4"/>
        <v>No</v>
      </c>
      <c r="K444" s="35"/>
      <c r="L444" s="35"/>
      <c r="M444" s="35"/>
      <c r="N444" s="4"/>
      <c r="O444" s="4"/>
      <c r="P444" s="50"/>
      <c r="Q444" s="50"/>
      <c r="R444" s="50"/>
      <c r="S444" s="51"/>
      <c r="T444" s="4"/>
      <c r="U444" s="4"/>
    </row>
    <row r="445" ht="18.0" customHeight="1">
      <c r="A445" s="35"/>
      <c r="B445" s="37" t="s">
        <v>640</v>
      </c>
      <c r="C445" s="38">
        <v>44627.0</v>
      </c>
      <c r="D445" s="37">
        <v>88.0</v>
      </c>
      <c r="E445" s="37">
        <v>433.0</v>
      </c>
      <c r="F445" s="37">
        <v>74.02</v>
      </c>
      <c r="G445" s="39">
        <v>8125.61</v>
      </c>
      <c r="H445" s="37" t="s">
        <v>641</v>
      </c>
      <c r="I445" s="52" t="s">
        <v>42</v>
      </c>
      <c r="J445" s="37" t="str">
        <f t="shared" si="4"/>
        <v>No</v>
      </c>
      <c r="K445" s="35"/>
      <c r="L445" s="35"/>
      <c r="M445" s="35"/>
      <c r="N445" s="4"/>
      <c r="O445" s="4"/>
      <c r="P445" s="50"/>
      <c r="Q445" s="50"/>
      <c r="R445" s="50"/>
      <c r="S445" s="51"/>
      <c r="T445" s="4"/>
      <c r="U445" s="4"/>
    </row>
    <row r="446" ht="18.0" customHeight="1">
      <c r="A446" s="35"/>
      <c r="B446" s="37" t="s">
        <v>642</v>
      </c>
      <c r="C446" s="38">
        <v>44880.0</v>
      </c>
      <c r="D446" s="37">
        <v>65.0</v>
      </c>
      <c r="E446" s="37">
        <v>500.0</v>
      </c>
      <c r="F446" s="37">
        <v>63.8</v>
      </c>
      <c r="G446" s="39">
        <v>9423.5</v>
      </c>
      <c r="H446" s="37" t="s">
        <v>643</v>
      </c>
      <c r="I446" s="52" t="s">
        <v>42</v>
      </c>
      <c r="J446" s="37" t="str">
        <f t="shared" si="4"/>
        <v>No</v>
      </c>
      <c r="K446" s="35"/>
      <c r="L446" s="35"/>
      <c r="M446" s="35"/>
      <c r="N446" s="4"/>
      <c r="O446" s="4"/>
      <c r="P446" s="50"/>
      <c r="Q446" s="50"/>
      <c r="R446" s="50"/>
      <c r="S446" s="51"/>
      <c r="T446" s="4"/>
      <c r="U446" s="4"/>
    </row>
    <row r="447" ht="18.0" customHeight="1">
      <c r="A447" s="35"/>
      <c r="B447" s="37" t="s">
        <v>644</v>
      </c>
      <c r="C447" s="38">
        <v>44821.0</v>
      </c>
      <c r="D447" s="37">
        <v>91.0</v>
      </c>
      <c r="E447" s="37">
        <v>437.0</v>
      </c>
      <c r="F447" s="37">
        <v>246.48</v>
      </c>
      <c r="G447" s="39">
        <v>2463.02</v>
      </c>
      <c r="H447" s="37" t="s">
        <v>645</v>
      </c>
      <c r="I447" s="52" t="s">
        <v>38</v>
      </c>
      <c r="J447" s="37" t="str">
        <f t="shared" si="4"/>
        <v>Yes</v>
      </c>
      <c r="K447" s="35"/>
      <c r="L447" s="35"/>
      <c r="M447" s="35"/>
      <c r="N447" s="4"/>
      <c r="O447" s="4"/>
      <c r="P447" s="50"/>
      <c r="Q447" s="50"/>
      <c r="R447" s="50"/>
      <c r="S447" s="51"/>
      <c r="T447" s="4"/>
      <c r="U447" s="4"/>
    </row>
    <row r="448" ht="18.0" customHeight="1">
      <c r="A448" s="35"/>
      <c r="B448" s="37" t="s">
        <v>646</v>
      </c>
      <c r="C448" s="38">
        <v>44919.0</v>
      </c>
      <c r="D448" s="37">
        <v>33.0</v>
      </c>
      <c r="E448" s="37">
        <v>724.0</v>
      </c>
      <c r="F448" s="37">
        <v>202.81</v>
      </c>
      <c r="G448" s="39">
        <v>8674.75</v>
      </c>
      <c r="H448" s="37" t="s">
        <v>647</v>
      </c>
      <c r="I448" s="52" t="s">
        <v>38</v>
      </c>
      <c r="J448" s="37" t="str">
        <f t="shared" si="4"/>
        <v>No</v>
      </c>
      <c r="K448" s="35"/>
      <c r="L448" s="35"/>
      <c r="M448" s="35"/>
      <c r="N448" s="4"/>
      <c r="O448" s="4"/>
      <c r="P448" s="50"/>
      <c r="Q448" s="50"/>
      <c r="R448" s="50"/>
      <c r="S448" s="51"/>
      <c r="T448" s="4"/>
      <c r="U448" s="4"/>
    </row>
    <row r="449" ht="18.0" customHeight="1">
      <c r="A449" s="35"/>
      <c r="B449" s="37" t="s">
        <v>648</v>
      </c>
      <c r="C449" s="38">
        <v>44865.0</v>
      </c>
      <c r="D449" s="37">
        <v>17.0</v>
      </c>
      <c r="E449" s="37">
        <v>921.0</v>
      </c>
      <c r="F449" s="37">
        <v>161.67</v>
      </c>
      <c r="G449" s="39">
        <v>7836.13</v>
      </c>
      <c r="H449" s="37" t="s">
        <v>649</v>
      </c>
      <c r="I449" s="52" t="s">
        <v>50</v>
      </c>
      <c r="J449" s="37" t="str">
        <f t="shared" si="4"/>
        <v>No</v>
      </c>
      <c r="K449" s="35"/>
      <c r="L449" s="35"/>
      <c r="M449" s="35"/>
      <c r="N449" s="4"/>
      <c r="O449" s="4"/>
      <c r="P449" s="50"/>
      <c r="Q449" s="50"/>
      <c r="R449" s="50"/>
      <c r="S449" s="51"/>
      <c r="T449" s="4"/>
      <c r="U449" s="4"/>
    </row>
    <row r="450" ht="18.0" customHeight="1">
      <c r="A450" s="35"/>
      <c r="B450" s="37" t="s">
        <v>17</v>
      </c>
      <c r="C450" s="38">
        <v>44770.0</v>
      </c>
      <c r="D450" s="37">
        <v>69.0</v>
      </c>
      <c r="E450" s="37">
        <v>666.0</v>
      </c>
      <c r="F450" s="37">
        <v>40.98</v>
      </c>
      <c r="G450" s="39">
        <v>6426.11</v>
      </c>
      <c r="H450" s="37" t="s">
        <v>377</v>
      </c>
      <c r="I450" s="52" t="s">
        <v>50</v>
      </c>
      <c r="J450" s="37" t="str">
        <f t="shared" si="4"/>
        <v>No</v>
      </c>
      <c r="K450" s="35"/>
      <c r="L450" s="35"/>
      <c r="M450" s="35"/>
      <c r="N450" s="4"/>
      <c r="O450" s="4"/>
      <c r="P450" s="50"/>
      <c r="Q450" s="50"/>
      <c r="R450" s="50"/>
      <c r="S450" s="51"/>
      <c r="T450" s="4"/>
      <c r="U450" s="4"/>
    </row>
    <row r="451" ht="18.0" customHeight="1">
      <c r="A451" s="35"/>
      <c r="B451" s="37" t="s">
        <v>650</v>
      </c>
      <c r="C451" s="38">
        <v>44695.0</v>
      </c>
      <c r="D451" s="37">
        <v>91.0</v>
      </c>
      <c r="E451" s="37">
        <v>384.0</v>
      </c>
      <c r="F451" s="37">
        <v>32.13</v>
      </c>
      <c r="G451" s="39">
        <v>4386.34</v>
      </c>
      <c r="H451" s="37" t="s">
        <v>651</v>
      </c>
      <c r="I451" s="52" t="s">
        <v>50</v>
      </c>
      <c r="J451" s="37" t="str">
        <f t="shared" si="4"/>
        <v>No</v>
      </c>
      <c r="K451" s="35"/>
      <c r="L451" s="35"/>
      <c r="M451" s="35"/>
      <c r="N451" s="4"/>
      <c r="O451" s="4"/>
      <c r="P451" s="50"/>
      <c r="Q451" s="50"/>
      <c r="R451" s="50"/>
      <c r="S451" s="51"/>
      <c r="T451" s="4"/>
      <c r="U451" s="4"/>
    </row>
    <row r="452" ht="18.0" customHeight="1">
      <c r="A452" s="35"/>
      <c r="B452" s="37" t="s">
        <v>652</v>
      </c>
      <c r="C452" s="38">
        <v>44624.0</v>
      </c>
      <c r="D452" s="37">
        <v>80.0</v>
      </c>
      <c r="E452" s="37">
        <v>956.0</v>
      </c>
      <c r="F452" s="37">
        <v>155.07</v>
      </c>
      <c r="G452" s="39">
        <v>9160.23</v>
      </c>
      <c r="H452" s="37" t="s">
        <v>653</v>
      </c>
      <c r="I452" s="52" t="s">
        <v>50</v>
      </c>
      <c r="J452" s="37" t="str">
        <f t="shared" si="4"/>
        <v>No</v>
      </c>
      <c r="K452" s="35"/>
      <c r="L452" s="35"/>
      <c r="M452" s="35"/>
      <c r="N452" s="4"/>
      <c r="O452" s="4"/>
      <c r="P452" s="50"/>
      <c r="Q452" s="50"/>
      <c r="R452" s="50"/>
      <c r="S452" s="51"/>
      <c r="T452" s="4"/>
      <c r="U452" s="4"/>
    </row>
    <row r="453" ht="18.0" customHeight="1">
      <c r="A453" s="35"/>
      <c r="B453" s="37" t="s">
        <v>654</v>
      </c>
      <c r="C453" s="38">
        <v>44810.0</v>
      </c>
      <c r="D453" s="37">
        <v>6.0</v>
      </c>
      <c r="E453" s="37">
        <v>673.0</v>
      </c>
      <c r="F453" s="37">
        <v>210.16</v>
      </c>
      <c r="G453" s="39">
        <v>5210.43</v>
      </c>
      <c r="H453" s="37" t="s">
        <v>655</v>
      </c>
      <c r="I453" s="52" t="s">
        <v>42</v>
      </c>
      <c r="J453" s="37" t="str">
        <f t="shared" si="4"/>
        <v>No</v>
      </c>
      <c r="K453" s="35"/>
      <c r="L453" s="35"/>
      <c r="M453" s="35"/>
      <c r="N453" s="4"/>
      <c r="O453" s="4"/>
      <c r="P453" s="50"/>
      <c r="Q453" s="50"/>
      <c r="R453" s="50"/>
      <c r="S453" s="51"/>
      <c r="T453" s="4"/>
      <c r="U453" s="4"/>
    </row>
    <row r="454" ht="18.0" customHeight="1">
      <c r="A454" s="35"/>
      <c r="B454" s="37" t="s">
        <v>656</v>
      </c>
      <c r="C454" s="38">
        <v>44925.0</v>
      </c>
      <c r="D454" s="37">
        <v>100.0</v>
      </c>
      <c r="E454" s="37">
        <v>472.0</v>
      </c>
      <c r="F454" s="37">
        <v>50.64</v>
      </c>
      <c r="G454" s="39">
        <v>4818.42</v>
      </c>
      <c r="H454" s="37" t="s">
        <v>657</v>
      </c>
      <c r="I454" s="52" t="s">
        <v>50</v>
      </c>
      <c r="J454" s="37" t="str">
        <f t="shared" si="4"/>
        <v>No</v>
      </c>
      <c r="K454" s="35"/>
      <c r="L454" s="35"/>
      <c r="M454" s="35"/>
      <c r="N454" s="4"/>
      <c r="O454" s="4"/>
      <c r="P454" s="50"/>
      <c r="Q454" s="50"/>
      <c r="R454" s="50"/>
      <c r="S454" s="51"/>
      <c r="T454" s="4"/>
      <c r="U454" s="4"/>
    </row>
    <row r="455" ht="18.0" customHeight="1">
      <c r="A455" s="35"/>
      <c r="B455" s="37" t="s">
        <v>658</v>
      </c>
      <c r="C455" s="38">
        <v>44615.0</v>
      </c>
      <c r="D455" s="37">
        <v>17.0</v>
      </c>
      <c r="E455" s="37">
        <v>100.0</v>
      </c>
      <c r="F455" s="37">
        <v>147.58</v>
      </c>
      <c r="G455" s="39">
        <v>5160.72</v>
      </c>
      <c r="H455" s="37" t="s">
        <v>659</v>
      </c>
      <c r="I455" s="52" t="s">
        <v>38</v>
      </c>
      <c r="J455" s="37" t="str">
        <f t="shared" si="4"/>
        <v>No</v>
      </c>
      <c r="K455" s="35"/>
      <c r="L455" s="35"/>
      <c r="M455" s="35"/>
      <c r="N455" s="4"/>
      <c r="O455" s="4"/>
      <c r="P455" s="50"/>
      <c r="Q455" s="50"/>
      <c r="R455" s="50"/>
      <c r="S455" s="51"/>
      <c r="T455" s="4"/>
      <c r="U455" s="4"/>
    </row>
    <row r="456" ht="18.0" customHeight="1">
      <c r="A456" s="35"/>
      <c r="B456" s="37" t="s">
        <v>660</v>
      </c>
      <c r="C456" s="38">
        <v>44714.0</v>
      </c>
      <c r="D456" s="37">
        <v>79.0</v>
      </c>
      <c r="E456" s="37">
        <v>930.0</v>
      </c>
      <c r="F456" s="37">
        <v>29.03</v>
      </c>
      <c r="G456" s="39">
        <v>6019.16</v>
      </c>
      <c r="H456" s="37" t="s">
        <v>661</v>
      </c>
      <c r="I456" s="52" t="s">
        <v>50</v>
      </c>
      <c r="J456" s="37" t="str">
        <f t="shared" si="4"/>
        <v>No</v>
      </c>
      <c r="K456" s="35"/>
      <c r="L456" s="35"/>
      <c r="M456" s="35"/>
      <c r="N456" s="4"/>
      <c r="O456" s="4"/>
      <c r="P456" s="50"/>
      <c r="Q456" s="50"/>
      <c r="R456" s="50"/>
      <c r="S456" s="51"/>
      <c r="T456" s="4"/>
      <c r="U456" s="4"/>
    </row>
    <row r="457" ht="18.0" customHeight="1">
      <c r="A457" s="35"/>
      <c r="B457" s="37" t="s">
        <v>662</v>
      </c>
      <c r="C457" s="38">
        <v>44581.0</v>
      </c>
      <c r="D457" s="37">
        <v>35.0</v>
      </c>
      <c r="E457" s="37">
        <v>255.0</v>
      </c>
      <c r="F457" s="37">
        <v>50.64</v>
      </c>
      <c r="G457" s="39">
        <v>8015.05</v>
      </c>
      <c r="H457" s="37" t="s">
        <v>663</v>
      </c>
      <c r="I457" s="52" t="s">
        <v>50</v>
      </c>
      <c r="J457" s="37" t="str">
        <f t="shared" si="4"/>
        <v>No</v>
      </c>
      <c r="K457" s="35"/>
      <c r="L457" s="35"/>
      <c r="M457" s="35"/>
      <c r="N457" s="4"/>
      <c r="O457" s="4"/>
      <c r="P457" s="50"/>
      <c r="Q457" s="50"/>
      <c r="R457" s="50"/>
      <c r="S457" s="51"/>
      <c r="T457" s="4"/>
      <c r="U457" s="4"/>
    </row>
    <row r="458" ht="18.0" customHeight="1">
      <c r="A458" s="35"/>
      <c r="B458" s="37" t="s">
        <v>664</v>
      </c>
      <c r="C458" s="38">
        <v>44684.0</v>
      </c>
      <c r="D458" s="37">
        <v>47.0</v>
      </c>
      <c r="E458" s="37">
        <v>601.0</v>
      </c>
      <c r="F458" s="37">
        <v>39.81</v>
      </c>
      <c r="G458" s="39">
        <v>2580.93</v>
      </c>
      <c r="H458" s="37" t="s">
        <v>665</v>
      </c>
      <c r="I458" s="52" t="s">
        <v>50</v>
      </c>
      <c r="J458" s="37" t="str">
        <f t="shared" si="4"/>
        <v>No</v>
      </c>
      <c r="K458" s="35"/>
      <c r="L458" s="35"/>
      <c r="M458" s="35"/>
      <c r="N458" s="4"/>
      <c r="O458" s="4"/>
      <c r="P458" s="50"/>
      <c r="Q458" s="50"/>
      <c r="R458" s="50"/>
      <c r="S458" s="51"/>
      <c r="T458" s="4"/>
      <c r="U458" s="4"/>
    </row>
    <row r="459" ht="18.0" customHeight="1">
      <c r="A459" s="35"/>
      <c r="B459" s="37" t="s">
        <v>666</v>
      </c>
      <c r="C459" s="38">
        <v>44625.0</v>
      </c>
      <c r="D459" s="37">
        <v>69.0</v>
      </c>
      <c r="E459" s="37">
        <v>877.0</v>
      </c>
      <c r="F459" s="37">
        <v>215.51</v>
      </c>
      <c r="G459" s="39">
        <v>6328.56</v>
      </c>
      <c r="H459" s="37" t="s">
        <v>667</v>
      </c>
      <c r="I459" s="52" t="s">
        <v>42</v>
      </c>
      <c r="J459" s="37" t="str">
        <f t="shared" si="4"/>
        <v>No</v>
      </c>
      <c r="K459" s="35"/>
      <c r="L459" s="35"/>
      <c r="M459" s="35"/>
      <c r="N459" s="4"/>
      <c r="O459" s="4"/>
      <c r="P459" s="50"/>
      <c r="Q459" s="50"/>
      <c r="R459" s="50"/>
      <c r="S459" s="51"/>
      <c r="T459" s="4"/>
      <c r="U459" s="4"/>
    </row>
    <row r="460" ht="18.0" customHeight="1">
      <c r="A460" s="35"/>
      <c r="B460" s="37" t="s">
        <v>668</v>
      </c>
      <c r="C460" s="38">
        <v>44800.0</v>
      </c>
      <c r="D460" s="37">
        <v>92.0</v>
      </c>
      <c r="E460" s="37">
        <v>980.0</v>
      </c>
      <c r="F460" s="37">
        <v>3.3</v>
      </c>
      <c r="G460" s="39">
        <v>6824.64</v>
      </c>
      <c r="H460" s="37" t="s">
        <v>669</v>
      </c>
      <c r="I460" s="52" t="s">
        <v>38</v>
      </c>
      <c r="J460" s="37" t="str">
        <f t="shared" si="4"/>
        <v>Yes</v>
      </c>
      <c r="K460" s="35"/>
      <c r="L460" s="35"/>
      <c r="M460" s="35"/>
      <c r="N460" s="4"/>
      <c r="O460" s="4"/>
      <c r="P460" s="50"/>
      <c r="Q460" s="50"/>
      <c r="R460" s="50"/>
      <c r="S460" s="51"/>
      <c r="T460" s="4"/>
      <c r="U460" s="4"/>
    </row>
    <row r="461" ht="18.0" customHeight="1">
      <c r="A461" s="35"/>
      <c r="B461" s="37" t="s">
        <v>670</v>
      </c>
      <c r="C461" s="38">
        <v>44872.0</v>
      </c>
      <c r="D461" s="37">
        <v>31.0</v>
      </c>
      <c r="E461" s="37">
        <v>381.0</v>
      </c>
      <c r="F461" s="37">
        <v>164.41</v>
      </c>
      <c r="G461" s="39">
        <v>4562.07</v>
      </c>
      <c r="H461" s="37" t="s">
        <v>671</v>
      </c>
      <c r="I461" s="52" t="s">
        <v>50</v>
      </c>
      <c r="J461" s="37" t="str">
        <f t="shared" si="4"/>
        <v>No</v>
      </c>
      <c r="K461" s="35"/>
      <c r="L461" s="35"/>
      <c r="M461" s="35"/>
      <c r="N461" s="4"/>
      <c r="O461" s="4"/>
      <c r="P461" s="50"/>
      <c r="Q461" s="50"/>
      <c r="R461" s="50"/>
      <c r="S461" s="51"/>
      <c r="T461" s="4"/>
      <c r="U461" s="4"/>
    </row>
    <row r="462" ht="18.0" customHeight="1">
      <c r="A462" s="35"/>
      <c r="B462" s="37" t="s">
        <v>672</v>
      </c>
      <c r="C462" s="38">
        <v>44651.0</v>
      </c>
      <c r="D462" s="37">
        <v>31.0</v>
      </c>
      <c r="E462" s="37">
        <v>546.0</v>
      </c>
      <c r="F462" s="37">
        <v>228.39</v>
      </c>
      <c r="G462" s="39">
        <v>4926.59</v>
      </c>
      <c r="H462" s="37" t="s">
        <v>87</v>
      </c>
      <c r="I462" s="52" t="s">
        <v>50</v>
      </c>
      <c r="J462" s="37" t="str">
        <f t="shared" si="4"/>
        <v>No</v>
      </c>
      <c r="K462" s="35"/>
      <c r="L462" s="35"/>
      <c r="M462" s="35"/>
      <c r="N462" s="4"/>
      <c r="O462" s="4"/>
      <c r="P462" s="50"/>
      <c r="Q462" s="50"/>
      <c r="R462" s="50"/>
      <c r="S462" s="51"/>
      <c r="T462" s="4"/>
      <c r="U462" s="4"/>
    </row>
    <row r="463" ht="18.0" customHeight="1">
      <c r="A463" s="35"/>
      <c r="B463" s="37" t="s">
        <v>673</v>
      </c>
      <c r="C463" s="38">
        <v>44829.0</v>
      </c>
      <c r="D463" s="37">
        <v>95.0</v>
      </c>
      <c r="E463" s="37">
        <v>525.0</v>
      </c>
      <c r="F463" s="37">
        <v>34.49</v>
      </c>
      <c r="G463" s="39">
        <v>2671.54</v>
      </c>
      <c r="H463" s="37" t="s">
        <v>37</v>
      </c>
      <c r="I463" s="52" t="s">
        <v>42</v>
      </c>
      <c r="J463" s="37" t="str">
        <f t="shared" si="4"/>
        <v>No</v>
      </c>
      <c r="K463" s="35"/>
      <c r="L463" s="35"/>
      <c r="M463" s="35"/>
      <c r="N463" s="4"/>
      <c r="O463" s="4"/>
      <c r="P463" s="50"/>
      <c r="Q463" s="50"/>
      <c r="R463" s="50"/>
      <c r="S463" s="51"/>
      <c r="T463" s="4"/>
      <c r="U463" s="4"/>
    </row>
    <row r="464" ht="18.0" customHeight="1">
      <c r="A464" s="35"/>
      <c r="B464" s="37" t="s">
        <v>674</v>
      </c>
      <c r="C464" s="38">
        <v>44890.0</v>
      </c>
      <c r="D464" s="37">
        <v>76.0</v>
      </c>
      <c r="E464" s="37">
        <v>753.0</v>
      </c>
      <c r="F464" s="37">
        <v>228.93</v>
      </c>
      <c r="G464" s="39">
        <v>1654.3</v>
      </c>
      <c r="H464" s="37" t="s">
        <v>41</v>
      </c>
      <c r="I464" s="52" t="s">
        <v>38</v>
      </c>
      <c r="J464" s="37" t="str">
        <f t="shared" si="4"/>
        <v>No</v>
      </c>
      <c r="K464" s="35"/>
      <c r="L464" s="35"/>
      <c r="M464" s="35"/>
      <c r="N464" s="4"/>
      <c r="O464" s="4"/>
      <c r="P464" s="50"/>
      <c r="Q464" s="50"/>
      <c r="R464" s="50"/>
      <c r="S464" s="51"/>
      <c r="T464" s="4"/>
      <c r="U464" s="4"/>
    </row>
    <row r="465" ht="18.0" customHeight="1">
      <c r="A465" s="35"/>
      <c r="B465" s="37" t="s">
        <v>675</v>
      </c>
      <c r="C465" s="38">
        <v>44610.0</v>
      </c>
      <c r="D465" s="37">
        <v>51.0</v>
      </c>
      <c r="E465" s="37">
        <v>547.0</v>
      </c>
      <c r="F465" s="37">
        <v>108.24</v>
      </c>
      <c r="G465" s="39">
        <v>9962.5</v>
      </c>
      <c r="H465" s="37" t="s">
        <v>45</v>
      </c>
      <c r="I465" s="52" t="s">
        <v>42</v>
      </c>
      <c r="J465" s="37" t="str">
        <f t="shared" si="4"/>
        <v>No</v>
      </c>
      <c r="K465" s="35"/>
      <c r="L465" s="35"/>
      <c r="M465" s="35"/>
      <c r="N465" s="4"/>
      <c r="O465" s="4"/>
      <c r="P465" s="50"/>
      <c r="Q465" s="50"/>
      <c r="R465" s="50"/>
      <c r="S465" s="51"/>
      <c r="T465" s="4"/>
      <c r="U465" s="4"/>
    </row>
    <row r="466" ht="18.0" customHeight="1">
      <c r="A466" s="35"/>
      <c r="B466" s="37" t="s">
        <v>676</v>
      </c>
      <c r="C466" s="38">
        <v>44851.0</v>
      </c>
      <c r="D466" s="37">
        <v>78.0</v>
      </c>
      <c r="E466" s="37">
        <v>952.0</v>
      </c>
      <c r="F466" s="37">
        <v>153.81</v>
      </c>
      <c r="G466" s="39">
        <v>7637.19</v>
      </c>
      <c r="H466" s="37" t="s">
        <v>49</v>
      </c>
      <c r="I466" s="52" t="s">
        <v>42</v>
      </c>
      <c r="J466" s="37" t="str">
        <f t="shared" si="4"/>
        <v>Yes</v>
      </c>
      <c r="K466" s="35"/>
      <c r="L466" s="35"/>
      <c r="M466" s="35"/>
      <c r="N466" s="4"/>
      <c r="O466" s="4"/>
      <c r="P466" s="50"/>
      <c r="Q466" s="50"/>
      <c r="R466" s="50"/>
      <c r="S466" s="51"/>
      <c r="T466" s="4"/>
      <c r="U466" s="4"/>
    </row>
    <row r="467" ht="18.0" customHeight="1">
      <c r="A467" s="35"/>
      <c r="B467" s="37" t="s">
        <v>677</v>
      </c>
      <c r="C467" s="38">
        <v>44667.0</v>
      </c>
      <c r="D467" s="37">
        <v>44.0</v>
      </c>
      <c r="E467" s="37">
        <v>614.0</v>
      </c>
      <c r="F467" s="37">
        <v>154.38</v>
      </c>
      <c r="G467" s="39">
        <v>1866.2</v>
      </c>
      <c r="H467" s="37" t="s">
        <v>53</v>
      </c>
      <c r="I467" s="52" t="s">
        <v>50</v>
      </c>
      <c r="J467" s="37" t="str">
        <f t="shared" si="4"/>
        <v>No</v>
      </c>
      <c r="K467" s="35"/>
      <c r="L467" s="35"/>
      <c r="M467" s="35"/>
      <c r="N467" s="4"/>
      <c r="O467" s="4"/>
      <c r="P467" s="50"/>
      <c r="Q467" s="50"/>
      <c r="R467" s="50"/>
      <c r="S467" s="51"/>
      <c r="T467" s="4"/>
      <c r="U467" s="4"/>
    </row>
    <row r="468" ht="18.0" customHeight="1">
      <c r="A468" s="35"/>
      <c r="B468" s="37" t="s">
        <v>678</v>
      </c>
      <c r="C468" s="38">
        <v>44797.0</v>
      </c>
      <c r="D468" s="37">
        <v>24.0</v>
      </c>
      <c r="E468" s="37">
        <v>262.0</v>
      </c>
      <c r="F468" s="37">
        <v>0.7</v>
      </c>
      <c r="G468" s="39">
        <v>8844.92</v>
      </c>
      <c r="H468" s="37" t="s">
        <v>56</v>
      </c>
      <c r="I468" s="52" t="s">
        <v>38</v>
      </c>
      <c r="J468" s="37" t="str">
        <f t="shared" si="4"/>
        <v>No</v>
      </c>
      <c r="K468" s="35"/>
      <c r="L468" s="35"/>
      <c r="M468" s="35"/>
      <c r="N468" s="4"/>
      <c r="O468" s="4"/>
      <c r="P468" s="50"/>
      <c r="Q468" s="50"/>
      <c r="R468" s="50"/>
      <c r="S468" s="51"/>
      <c r="T468" s="4"/>
      <c r="U468" s="4"/>
    </row>
    <row r="469" ht="18.0" customHeight="1">
      <c r="A469" s="35"/>
      <c r="B469" s="37" t="s">
        <v>17</v>
      </c>
      <c r="C469" s="38">
        <v>44787.0</v>
      </c>
      <c r="D469" s="37">
        <v>15.0</v>
      </c>
      <c r="E469" s="37">
        <v>304.0</v>
      </c>
      <c r="F469" s="37">
        <v>194.44</v>
      </c>
      <c r="G469" s="39">
        <v>6351.66</v>
      </c>
      <c r="H469" s="37" t="s">
        <v>59</v>
      </c>
      <c r="I469" s="52" t="s">
        <v>50</v>
      </c>
      <c r="J469" s="37" t="str">
        <f t="shared" si="4"/>
        <v>No</v>
      </c>
      <c r="K469" s="35"/>
      <c r="L469" s="35"/>
      <c r="M469" s="35"/>
      <c r="N469" s="4"/>
      <c r="O469" s="4"/>
      <c r="P469" s="50"/>
      <c r="Q469" s="50"/>
      <c r="R469" s="50"/>
      <c r="S469" s="51"/>
      <c r="T469" s="4"/>
      <c r="U469" s="4"/>
    </row>
    <row r="470" ht="18.0" customHeight="1">
      <c r="A470" s="35"/>
      <c r="B470" s="37" t="s">
        <v>36</v>
      </c>
      <c r="C470" s="38">
        <v>44922.0</v>
      </c>
      <c r="D470" s="37">
        <v>63.0</v>
      </c>
      <c r="E470" s="37">
        <v>338.0</v>
      </c>
      <c r="F470" s="37">
        <v>131.92</v>
      </c>
      <c r="G470" s="39">
        <v>6990.09</v>
      </c>
      <c r="H470" s="37" t="s">
        <v>61</v>
      </c>
      <c r="I470" s="52" t="s">
        <v>38</v>
      </c>
      <c r="J470" s="37" t="str">
        <f t="shared" si="4"/>
        <v>No</v>
      </c>
      <c r="K470" s="35"/>
      <c r="L470" s="35"/>
      <c r="M470" s="35"/>
      <c r="N470" s="4"/>
      <c r="O470" s="4"/>
      <c r="P470" s="50"/>
      <c r="Q470" s="50"/>
      <c r="R470" s="50"/>
      <c r="S470" s="51"/>
      <c r="T470" s="4"/>
      <c r="U470" s="4"/>
    </row>
    <row r="471" ht="18.0" customHeight="1">
      <c r="A471" s="35"/>
      <c r="B471" s="37" t="s">
        <v>21</v>
      </c>
      <c r="C471" s="38">
        <v>44706.0</v>
      </c>
      <c r="D471" s="37">
        <v>58.0</v>
      </c>
      <c r="E471" s="37">
        <v>293.0</v>
      </c>
      <c r="F471" s="37">
        <v>134.87</v>
      </c>
      <c r="G471" s="39">
        <v>4234.49</v>
      </c>
      <c r="H471" s="37" t="s">
        <v>63</v>
      </c>
      <c r="I471" s="52" t="s">
        <v>50</v>
      </c>
      <c r="J471" s="37" t="str">
        <f t="shared" si="4"/>
        <v>No</v>
      </c>
      <c r="K471" s="35"/>
      <c r="L471" s="35"/>
      <c r="M471" s="35"/>
      <c r="N471" s="4"/>
      <c r="O471" s="4"/>
      <c r="P471" s="50"/>
      <c r="Q471" s="50"/>
      <c r="R471" s="50"/>
      <c r="S471" s="51"/>
      <c r="T471" s="4"/>
      <c r="U471" s="4"/>
    </row>
    <row r="472" ht="18.0" customHeight="1">
      <c r="A472" s="35"/>
      <c r="B472" s="37" t="s">
        <v>679</v>
      </c>
      <c r="C472" s="38">
        <v>44616.0</v>
      </c>
      <c r="D472" s="37">
        <v>66.0</v>
      </c>
      <c r="E472" s="37">
        <v>914.0</v>
      </c>
      <c r="F472" s="37">
        <v>69.97</v>
      </c>
      <c r="G472" s="39">
        <v>4882.87</v>
      </c>
      <c r="H472" s="37" t="s">
        <v>66</v>
      </c>
      <c r="I472" s="52" t="s">
        <v>50</v>
      </c>
      <c r="J472" s="37" t="str">
        <f t="shared" si="4"/>
        <v>No</v>
      </c>
      <c r="K472" s="35"/>
      <c r="L472" s="35"/>
      <c r="M472" s="35"/>
      <c r="N472" s="4"/>
      <c r="O472" s="4"/>
      <c r="P472" s="50"/>
      <c r="Q472" s="50"/>
      <c r="R472" s="50"/>
      <c r="S472" s="51"/>
      <c r="T472" s="4"/>
      <c r="U472" s="4"/>
    </row>
    <row r="473" ht="18.0" customHeight="1">
      <c r="A473" s="35"/>
      <c r="B473" s="37" t="s">
        <v>680</v>
      </c>
      <c r="C473" s="38">
        <v>44808.0</v>
      </c>
      <c r="D473" s="37">
        <v>70.0</v>
      </c>
      <c r="E473" s="37">
        <v>806.0</v>
      </c>
      <c r="F473" s="37">
        <v>159.18</v>
      </c>
      <c r="G473" s="39">
        <v>5519.85</v>
      </c>
      <c r="H473" s="37" t="s">
        <v>68</v>
      </c>
      <c r="I473" s="52" t="s">
        <v>42</v>
      </c>
      <c r="J473" s="37" t="str">
        <f t="shared" si="4"/>
        <v>No</v>
      </c>
      <c r="K473" s="35"/>
      <c r="L473" s="35"/>
      <c r="M473" s="35"/>
      <c r="N473" s="4"/>
      <c r="O473" s="4"/>
      <c r="P473" s="50"/>
      <c r="Q473" s="50"/>
      <c r="R473" s="50"/>
      <c r="S473" s="51"/>
      <c r="T473" s="4"/>
      <c r="U473" s="4"/>
    </row>
    <row r="474" ht="18.0" customHeight="1">
      <c r="A474" s="35"/>
      <c r="B474" s="37" t="s">
        <v>681</v>
      </c>
      <c r="C474" s="38">
        <v>44563.0</v>
      </c>
      <c r="D474" s="37">
        <v>33.0</v>
      </c>
      <c r="E474" s="37">
        <v>680.0</v>
      </c>
      <c r="F474" s="37">
        <v>66.59</v>
      </c>
      <c r="G474" s="39">
        <v>5097.39</v>
      </c>
      <c r="H474" s="37" t="s">
        <v>71</v>
      </c>
      <c r="I474" s="52" t="s">
        <v>42</v>
      </c>
      <c r="J474" s="37" t="str">
        <f t="shared" si="4"/>
        <v>No</v>
      </c>
      <c r="K474" s="35"/>
      <c r="L474" s="35"/>
      <c r="M474" s="35"/>
      <c r="N474" s="4"/>
      <c r="O474" s="4"/>
      <c r="P474" s="50"/>
      <c r="Q474" s="50"/>
      <c r="R474" s="50"/>
      <c r="S474" s="51"/>
      <c r="T474" s="4"/>
      <c r="U474" s="4"/>
    </row>
    <row r="475" ht="18.0" customHeight="1">
      <c r="A475" s="35"/>
      <c r="B475" s="37" t="s">
        <v>682</v>
      </c>
      <c r="C475" s="38">
        <v>44687.0</v>
      </c>
      <c r="D475" s="37">
        <v>72.0</v>
      </c>
      <c r="E475" s="37">
        <v>364.0</v>
      </c>
      <c r="F475" s="37">
        <v>237.54</v>
      </c>
      <c r="G475" s="39">
        <v>7673.14</v>
      </c>
      <c r="H475" s="37" t="s">
        <v>683</v>
      </c>
      <c r="I475" s="52" t="s">
        <v>50</v>
      </c>
      <c r="J475" s="37" t="str">
        <f t="shared" si="4"/>
        <v>No</v>
      </c>
      <c r="K475" s="35"/>
      <c r="L475" s="35"/>
      <c r="M475" s="35"/>
      <c r="N475" s="4"/>
      <c r="O475" s="4"/>
      <c r="P475" s="50"/>
      <c r="Q475" s="50"/>
      <c r="R475" s="50"/>
      <c r="S475" s="51"/>
      <c r="T475" s="4"/>
      <c r="U475" s="4"/>
    </row>
    <row r="476" ht="18.0" customHeight="1">
      <c r="A476" s="35"/>
      <c r="B476" s="37" t="s">
        <v>684</v>
      </c>
      <c r="C476" s="38">
        <v>44711.0</v>
      </c>
      <c r="D476" s="37">
        <v>73.0</v>
      </c>
      <c r="E476" s="37">
        <v>280.0</v>
      </c>
      <c r="F476" s="37">
        <v>41.72</v>
      </c>
      <c r="G476" s="39">
        <v>734.29</v>
      </c>
      <c r="H476" s="37" t="s">
        <v>685</v>
      </c>
      <c r="I476" s="52" t="s">
        <v>42</v>
      </c>
      <c r="J476" s="37" t="str">
        <f t="shared" si="4"/>
        <v>No</v>
      </c>
      <c r="K476" s="35"/>
      <c r="L476" s="35"/>
      <c r="M476" s="35"/>
      <c r="N476" s="4"/>
      <c r="O476" s="4"/>
      <c r="P476" s="50"/>
      <c r="Q476" s="50"/>
      <c r="R476" s="50"/>
      <c r="S476" s="51"/>
      <c r="T476" s="4"/>
      <c r="U476" s="4"/>
    </row>
    <row r="477" ht="18.0" customHeight="1">
      <c r="A477" s="35"/>
      <c r="B477" s="37" t="s">
        <v>686</v>
      </c>
      <c r="C477" s="38">
        <v>44802.0</v>
      </c>
      <c r="D477" s="37">
        <v>49.0</v>
      </c>
      <c r="E477" s="37">
        <v>801.0</v>
      </c>
      <c r="F477" s="37">
        <v>2.66</v>
      </c>
      <c r="G477" s="39">
        <v>9018.3</v>
      </c>
      <c r="H477" s="37" t="s">
        <v>687</v>
      </c>
      <c r="I477" s="52" t="s">
        <v>38</v>
      </c>
      <c r="J477" s="37" t="str">
        <f t="shared" si="4"/>
        <v>No</v>
      </c>
      <c r="K477" s="35"/>
      <c r="L477" s="35"/>
      <c r="M477" s="35"/>
      <c r="N477" s="4"/>
      <c r="O477" s="4"/>
      <c r="P477" s="50"/>
      <c r="Q477" s="50"/>
      <c r="R477" s="50"/>
      <c r="S477" s="51"/>
      <c r="T477" s="4"/>
      <c r="U477" s="4"/>
    </row>
    <row r="478" ht="18.0" customHeight="1">
      <c r="A478" s="35"/>
      <c r="B478" s="37" t="s">
        <v>688</v>
      </c>
      <c r="C478" s="38">
        <v>44853.0</v>
      </c>
      <c r="D478" s="37">
        <v>48.0</v>
      </c>
      <c r="E478" s="37">
        <v>779.0</v>
      </c>
      <c r="F478" s="37">
        <v>96.54</v>
      </c>
      <c r="G478" s="39">
        <v>3561.33</v>
      </c>
      <c r="H478" s="37" t="s">
        <v>689</v>
      </c>
      <c r="I478" s="52" t="s">
        <v>42</v>
      </c>
      <c r="J478" s="37" t="str">
        <f t="shared" si="4"/>
        <v>No</v>
      </c>
      <c r="K478" s="35"/>
      <c r="L478" s="35"/>
      <c r="M478" s="35"/>
      <c r="N478" s="4"/>
      <c r="O478" s="4"/>
      <c r="P478" s="50"/>
      <c r="Q478" s="50"/>
      <c r="R478" s="50"/>
      <c r="S478" s="51"/>
      <c r="T478" s="4"/>
      <c r="U478" s="4"/>
    </row>
    <row r="479" ht="18.0" customHeight="1">
      <c r="A479" s="35"/>
      <c r="B479" s="37" t="s">
        <v>690</v>
      </c>
      <c r="C479" s="38">
        <v>44772.0</v>
      </c>
      <c r="D479" s="37">
        <v>13.0</v>
      </c>
      <c r="E479" s="37">
        <v>435.0</v>
      </c>
      <c r="F479" s="37">
        <v>177.46</v>
      </c>
      <c r="G479" s="39">
        <v>3822.94</v>
      </c>
      <c r="H479" s="37" t="s">
        <v>691</v>
      </c>
      <c r="I479" s="52" t="s">
        <v>50</v>
      </c>
      <c r="J479" s="37" t="str">
        <f t="shared" si="4"/>
        <v>No</v>
      </c>
      <c r="K479" s="35"/>
      <c r="L479" s="35"/>
      <c r="M479" s="35"/>
      <c r="N479" s="4"/>
      <c r="O479" s="4"/>
      <c r="P479" s="50"/>
      <c r="Q479" s="50"/>
      <c r="R479" s="50"/>
      <c r="S479" s="51"/>
      <c r="T479" s="4"/>
      <c r="U479" s="4"/>
    </row>
    <row r="480" ht="18.0" customHeight="1">
      <c r="A480" s="35"/>
      <c r="B480" s="37" t="s">
        <v>40</v>
      </c>
      <c r="C480" s="38">
        <v>44644.0</v>
      </c>
      <c r="D480" s="37">
        <v>40.0</v>
      </c>
      <c r="E480" s="37">
        <v>905.0</v>
      </c>
      <c r="F480" s="37">
        <v>59.2</v>
      </c>
      <c r="G480" s="39">
        <v>6857.64</v>
      </c>
      <c r="H480" s="37" t="s">
        <v>597</v>
      </c>
      <c r="I480" s="52" t="s">
        <v>50</v>
      </c>
      <c r="J480" s="37" t="str">
        <f t="shared" si="4"/>
        <v>No</v>
      </c>
      <c r="K480" s="35"/>
      <c r="L480" s="35"/>
      <c r="M480" s="35"/>
      <c r="N480" s="4"/>
      <c r="O480" s="4"/>
      <c r="P480" s="50"/>
      <c r="Q480" s="50"/>
      <c r="R480" s="50"/>
      <c r="S480" s="51"/>
      <c r="T480" s="4"/>
      <c r="U480" s="4"/>
    </row>
    <row r="481" ht="18.0" customHeight="1">
      <c r="A481" s="35"/>
      <c r="B481" s="37" t="s">
        <v>692</v>
      </c>
      <c r="C481" s="38">
        <v>44823.0</v>
      </c>
      <c r="D481" s="37">
        <v>22.0</v>
      </c>
      <c r="E481" s="37">
        <v>984.0</v>
      </c>
      <c r="F481" s="37">
        <v>184.88</v>
      </c>
      <c r="G481" s="39">
        <v>2445.56</v>
      </c>
      <c r="H481" s="37" t="s">
        <v>693</v>
      </c>
      <c r="I481" s="52" t="s">
        <v>38</v>
      </c>
      <c r="J481" s="37" t="str">
        <f t="shared" si="4"/>
        <v>No</v>
      </c>
      <c r="K481" s="35"/>
      <c r="L481" s="35"/>
      <c r="M481" s="35"/>
      <c r="N481" s="4"/>
      <c r="O481" s="4"/>
      <c r="P481" s="50"/>
      <c r="Q481" s="50"/>
      <c r="R481" s="50"/>
      <c r="S481" s="51"/>
      <c r="T481" s="4"/>
      <c r="U481" s="4"/>
    </row>
    <row r="482" ht="18.0" customHeight="1">
      <c r="A482" s="35"/>
      <c r="B482" s="37" t="s">
        <v>694</v>
      </c>
      <c r="C482" s="38">
        <v>44770.0</v>
      </c>
      <c r="D482" s="37">
        <v>78.0</v>
      </c>
      <c r="E482" s="37">
        <v>935.0</v>
      </c>
      <c r="F482" s="37">
        <v>86.6</v>
      </c>
      <c r="G482" s="39">
        <v>7946.48</v>
      </c>
      <c r="H482" s="37" t="s">
        <v>695</v>
      </c>
      <c r="I482" s="52" t="s">
        <v>38</v>
      </c>
      <c r="J482" s="37" t="str">
        <f t="shared" si="4"/>
        <v>Yes</v>
      </c>
      <c r="K482" s="35"/>
      <c r="L482" s="35"/>
      <c r="M482" s="35"/>
      <c r="N482" s="4"/>
      <c r="O482" s="4"/>
      <c r="P482" s="50"/>
      <c r="Q482" s="50"/>
      <c r="R482" s="50"/>
      <c r="S482" s="51"/>
      <c r="T482" s="4"/>
      <c r="U482" s="4"/>
    </row>
    <row r="483" ht="18.0" customHeight="1">
      <c r="A483" s="35"/>
      <c r="B483" s="37" t="s">
        <v>696</v>
      </c>
      <c r="C483" s="38">
        <v>44563.0</v>
      </c>
      <c r="D483" s="37">
        <v>35.0</v>
      </c>
      <c r="E483" s="37">
        <v>74.0</v>
      </c>
      <c r="F483" s="37">
        <v>62.52</v>
      </c>
      <c r="G483" s="39">
        <v>1264.7</v>
      </c>
      <c r="H483" s="37" t="s">
        <v>697</v>
      </c>
      <c r="I483" s="52" t="s">
        <v>50</v>
      </c>
      <c r="J483" s="37" t="str">
        <f t="shared" si="4"/>
        <v>No</v>
      </c>
      <c r="K483" s="35"/>
      <c r="L483" s="35"/>
      <c r="M483" s="35"/>
      <c r="N483" s="4"/>
      <c r="O483" s="4"/>
      <c r="P483" s="50"/>
      <c r="Q483" s="50"/>
      <c r="R483" s="50"/>
      <c r="S483" s="51"/>
      <c r="T483" s="4"/>
      <c r="U483" s="4"/>
    </row>
    <row r="484" ht="18.0" customHeight="1">
      <c r="A484" s="35"/>
      <c r="B484" s="37" t="s">
        <v>698</v>
      </c>
      <c r="C484" s="38">
        <v>44849.0</v>
      </c>
      <c r="D484" s="37">
        <v>71.0</v>
      </c>
      <c r="E484" s="37">
        <v>769.0</v>
      </c>
      <c r="F484" s="37">
        <v>148.56</v>
      </c>
      <c r="G484" s="39">
        <v>1557.39</v>
      </c>
      <c r="H484" s="37" t="s">
        <v>699</v>
      </c>
      <c r="I484" s="52" t="s">
        <v>50</v>
      </c>
      <c r="J484" s="37" t="str">
        <f t="shared" si="4"/>
        <v>No</v>
      </c>
      <c r="K484" s="35"/>
      <c r="L484" s="35"/>
      <c r="M484" s="35"/>
      <c r="N484" s="4"/>
      <c r="O484" s="4"/>
      <c r="P484" s="50"/>
      <c r="Q484" s="50"/>
      <c r="R484" s="50"/>
      <c r="S484" s="51"/>
      <c r="T484" s="4"/>
      <c r="U484" s="4"/>
    </row>
    <row r="485" ht="18.0" customHeight="1">
      <c r="A485" s="35"/>
      <c r="B485" s="37" t="s">
        <v>700</v>
      </c>
      <c r="C485" s="38">
        <v>44901.0</v>
      </c>
      <c r="D485" s="37">
        <v>74.0</v>
      </c>
      <c r="E485" s="37">
        <v>920.0</v>
      </c>
      <c r="F485" s="37">
        <v>67.36</v>
      </c>
      <c r="G485" s="39">
        <v>8624.49</v>
      </c>
      <c r="H485" s="37" t="s">
        <v>701</v>
      </c>
      <c r="I485" s="52" t="s">
        <v>42</v>
      </c>
      <c r="J485" s="37" t="str">
        <f t="shared" si="4"/>
        <v>No</v>
      </c>
      <c r="K485" s="35"/>
      <c r="L485" s="35"/>
      <c r="M485" s="35"/>
      <c r="N485" s="4"/>
      <c r="O485" s="4"/>
      <c r="P485" s="50"/>
      <c r="Q485" s="50"/>
      <c r="R485" s="50"/>
      <c r="S485" s="51"/>
      <c r="T485" s="4"/>
      <c r="U485" s="4"/>
    </row>
    <row r="486" ht="18.0" customHeight="1">
      <c r="A486" s="35"/>
      <c r="B486" s="37" t="s">
        <v>702</v>
      </c>
      <c r="C486" s="38">
        <v>44666.0</v>
      </c>
      <c r="D486" s="37">
        <v>64.0</v>
      </c>
      <c r="E486" s="37">
        <v>135.0</v>
      </c>
      <c r="F486" s="37">
        <v>73.46</v>
      </c>
      <c r="G486" s="39">
        <v>33.15</v>
      </c>
      <c r="H486" s="37" t="s">
        <v>703</v>
      </c>
      <c r="I486" s="52" t="s">
        <v>50</v>
      </c>
      <c r="J486" s="37" t="str">
        <f t="shared" si="4"/>
        <v>No</v>
      </c>
      <c r="K486" s="35"/>
      <c r="L486" s="35"/>
      <c r="M486" s="35"/>
      <c r="N486" s="4"/>
      <c r="O486" s="4"/>
      <c r="P486" s="50"/>
      <c r="Q486" s="50"/>
      <c r="R486" s="50"/>
      <c r="S486" s="51"/>
      <c r="T486" s="4"/>
      <c r="U486" s="4"/>
    </row>
    <row r="487" ht="18.0" customHeight="1">
      <c r="A487" s="35"/>
      <c r="B487" s="37" t="s">
        <v>704</v>
      </c>
      <c r="C487" s="38">
        <v>44678.0</v>
      </c>
      <c r="D487" s="37">
        <v>71.0</v>
      </c>
      <c r="E487" s="37">
        <v>207.0</v>
      </c>
      <c r="F487" s="37">
        <v>118.42</v>
      </c>
      <c r="G487" s="39">
        <v>4894.2</v>
      </c>
      <c r="H487" s="37" t="s">
        <v>705</v>
      </c>
      <c r="I487" s="52" t="s">
        <v>38</v>
      </c>
      <c r="J487" s="37" t="str">
        <f t="shared" si="4"/>
        <v>No</v>
      </c>
      <c r="K487" s="35"/>
      <c r="L487" s="35"/>
      <c r="M487" s="35"/>
      <c r="N487" s="4"/>
      <c r="O487" s="4"/>
      <c r="P487" s="50"/>
      <c r="Q487" s="50"/>
      <c r="R487" s="50"/>
      <c r="S487" s="51"/>
      <c r="T487" s="4"/>
      <c r="U487" s="4"/>
    </row>
    <row r="488" ht="18.0" customHeight="1">
      <c r="A488" s="35"/>
      <c r="B488" s="37" t="s">
        <v>706</v>
      </c>
      <c r="C488" s="38">
        <v>44825.0</v>
      </c>
      <c r="D488" s="37">
        <v>43.0</v>
      </c>
      <c r="E488" s="37">
        <v>352.0</v>
      </c>
      <c r="F488" s="37">
        <v>182.51</v>
      </c>
      <c r="G488" s="39">
        <v>4884.9</v>
      </c>
      <c r="H488" s="37" t="s">
        <v>707</v>
      </c>
      <c r="I488" s="52" t="s">
        <v>50</v>
      </c>
      <c r="J488" s="37" t="str">
        <f t="shared" si="4"/>
        <v>No</v>
      </c>
      <c r="K488" s="35"/>
      <c r="L488" s="35"/>
      <c r="M488" s="35"/>
      <c r="N488" s="4"/>
      <c r="O488" s="4"/>
      <c r="P488" s="50"/>
      <c r="Q488" s="50"/>
      <c r="R488" s="50"/>
      <c r="S488" s="51"/>
      <c r="T488" s="4"/>
      <c r="U488" s="4"/>
    </row>
    <row r="489" ht="18.0" customHeight="1">
      <c r="A489" s="35"/>
      <c r="B489" s="37" t="s">
        <v>708</v>
      </c>
      <c r="C489" s="38">
        <v>44774.0</v>
      </c>
      <c r="D489" s="37">
        <v>64.0</v>
      </c>
      <c r="E489" s="37">
        <v>641.0</v>
      </c>
      <c r="F489" s="37">
        <v>28.3</v>
      </c>
      <c r="G489" s="39">
        <v>603.61</v>
      </c>
      <c r="H489" s="37" t="s">
        <v>709</v>
      </c>
      <c r="I489" s="52" t="s">
        <v>38</v>
      </c>
      <c r="J489" s="37" t="str">
        <f t="shared" si="4"/>
        <v>No</v>
      </c>
      <c r="K489" s="35"/>
      <c r="L489" s="35"/>
      <c r="M489" s="35"/>
      <c r="N489" s="4"/>
      <c r="O489" s="4"/>
      <c r="P489" s="50"/>
      <c r="Q489" s="50"/>
      <c r="R489" s="50"/>
      <c r="S489" s="51"/>
      <c r="T489" s="4"/>
      <c r="U489" s="4"/>
    </row>
    <row r="490" ht="18.0" customHeight="1">
      <c r="A490" s="35"/>
      <c r="B490" s="37" t="s">
        <v>710</v>
      </c>
      <c r="C490" s="38">
        <v>44743.0</v>
      </c>
      <c r="D490" s="37">
        <v>61.0</v>
      </c>
      <c r="E490" s="37">
        <v>874.0</v>
      </c>
      <c r="F490" s="37">
        <v>72.44</v>
      </c>
      <c r="G490" s="39">
        <v>9816.5</v>
      </c>
      <c r="H490" s="37" t="s">
        <v>711</v>
      </c>
      <c r="I490" s="52" t="s">
        <v>42</v>
      </c>
      <c r="J490" s="37" t="str">
        <f t="shared" si="4"/>
        <v>No</v>
      </c>
      <c r="K490" s="35"/>
      <c r="L490" s="35"/>
      <c r="M490" s="35"/>
      <c r="N490" s="4"/>
      <c r="O490" s="4"/>
      <c r="P490" s="50"/>
      <c r="Q490" s="50"/>
      <c r="R490" s="50"/>
      <c r="S490" s="51"/>
      <c r="T490" s="4"/>
      <c r="U490" s="4"/>
    </row>
    <row r="491" ht="18.0" customHeight="1">
      <c r="A491" s="35"/>
      <c r="B491" s="37" t="s">
        <v>712</v>
      </c>
      <c r="C491" s="38">
        <v>44573.0</v>
      </c>
      <c r="D491" s="37">
        <v>27.0</v>
      </c>
      <c r="E491" s="37">
        <v>276.0</v>
      </c>
      <c r="F491" s="37">
        <v>172.86</v>
      </c>
      <c r="G491" s="39">
        <v>9955.82</v>
      </c>
      <c r="H491" s="37" t="s">
        <v>713</v>
      </c>
      <c r="I491" s="52" t="s">
        <v>38</v>
      </c>
      <c r="J491" s="37" t="str">
        <f t="shared" si="4"/>
        <v>No</v>
      </c>
      <c r="K491" s="35"/>
      <c r="L491" s="35"/>
      <c r="M491" s="35"/>
      <c r="N491" s="4"/>
      <c r="O491" s="4"/>
      <c r="P491" s="50"/>
      <c r="Q491" s="50"/>
      <c r="R491" s="50"/>
      <c r="S491" s="51"/>
      <c r="T491" s="4"/>
      <c r="U491" s="4"/>
    </row>
    <row r="492" ht="18.0" customHeight="1">
      <c r="A492" s="35"/>
      <c r="B492" s="37" t="s">
        <v>714</v>
      </c>
      <c r="C492" s="38">
        <v>44643.0</v>
      </c>
      <c r="D492" s="37">
        <v>10.0</v>
      </c>
      <c r="E492" s="37">
        <v>9.0</v>
      </c>
      <c r="F492" s="37">
        <v>189.74</v>
      </c>
      <c r="G492" s="39">
        <v>2477.41</v>
      </c>
      <c r="H492" s="37" t="s">
        <v>715</v>
      </c>
      <c r="I492" s="52" t="s">
        <v>42</v>
      </c>
      <c r="J492" s="37" t="str">
        <f t="shared" si="4"/>
        <v>No</v>
      </c>
      <c r="K492" s="35"/>
      <c r="L492" s="35"/>
      <c r="M492" s="35"/>
      <c r="N492" s="4"/>
      <c r="O492" s="4"/>
      <c r="P492" s="50"/>
      <c r="Q492" s="50"/>
      <c r="R492" s="50"/>
      <c r="S492" s="51"/>
      <c r="T492" s="4"/>
      <c r="U492" s="4"/>
    </row>
    <row r="493" ht="18.0" customHeight="1">
      <c r="A493" s="35"/>
      <c r="B493" s="37" t="s">
        <v>716</v>
      </c>
      <c r="C493" s="38">
        <v>44650.0</v>
      </c>
      <c r="D493" s="37">
        <v>96.0</v>
      </c>
      <c r="E493" s="37">
        <v>33.0</v>
      </c>
      <c r="F493" s="37">
        <v>198.28</v>
      </c>
      <c r="G493" s="39">
        <v>9338.17</v>
      </c>
      <c r="H493" s="37" t="s">
        <v>717</v>
      </c>
      <c r="I493" s="52" t="s">
        <v>50</v>
      </c>
      <c r="J493" s="37" t="str">
        <f t="shared" si="4"/>
        <v>No</v>
      </c>
      <c r="K493" s="35"/>
      <c r="L493" s="35"/>
      <c r="M493" s="35"/>
      <c r="N493" s="4"/>
      <c r="O493" s="4"/>
      <c r="P493" s="50"/>
      <c r="Q493" s="50"/>
      <c r="R493" s="50"/>
      <c r="S493" s="51"/>
      <c r="T493" s="4"/>
      <c r="U493" s="4"/>
    </row>
    <row r="494" ht="18.0" customHeight="1">
      <c r="A494" s="35"/>
      <c r="B494" s="37" t="s">
        <v>718</v>
      </c>
      <c r="C494" s="38">
        <v>44688.0</v>
      </c>
      <c r="D494" s="37">
        <v>79.0</v>
      </c>
      <c r="E494" s="37">
        <v>980.0</v>
      </c>
      <c r="F494" s="37">
        <v>240.72</v>
      </c>
      <c r="G494" s="39">
        <v>4002.86</v>
      </c>
      <c r="H494" s="37" t="s">
        <v>719</v>
      </c>
      <c r="I494" s="52" t="s">
        <v>42</v>
      </c>
      <c r="J494" s="37" t="str">
        <f t="shared" si="4"/>
        <v>No</v>
      </c>
      <c r="K494" s="35"/>
      <c r="L494" s="35"/>
      <c r="M494" s="35"/>
      <c r="N494" s="4"/>
      <c r="O494" s="4"/>
      <c r="P494" s="50"/>
      <c r="Q494" s="50"/>
      <c r="R494" s="50"/>
      <c r="S494" s="51"/>
      <c r="T494" s="4"/>
      <c r="U494" s="4"/>
    </row>
    <row r="495" ht="18.0" customHeight="1">
      <c r="A495" s="35"/>
      <c r="B495" s="37" t="s">
        <v>720</v>
      </c>
      <c r="C495" s="38">
        <v>44788.0</v>
      </c>
      <c r="D495" s="37">
        <v>79.0</v>
      </c>
      <c r="E495" s="37">
        <v>726.0</v>
      </c>
      <c r="F495" s="37">
        <v>130.99</v>
      </c>
      <c r="G495" s="39">
        <v>6023.97</v>
      </c>
      <c r="H495" s="37" t="s">
        <v>721</v>
      </c>
      <c r="I495" s="52" t="s">
        <v>50</v>
      </c>
      <c r="J495" s="37" t="str">
        <f t="shared" si="4"/>
        <v>No</v>
      </c>
      <c r="K495" s="35"/>
      <c r="L495" s="35"/>
      <c r="M495" s="35"/>
      <c r="N495" s="4"/>
      <c r="O495" s="4"/>
      <c r="P495" s="50"/>
      <c r="Q495" s="50"/>
      <c r="R495" s="50"/>
      <c r="S495" s="51"/>
      <c r="T495" s="4"/>
      <c r="U495" s="4"/>
    </row>
    <row r="496" ht="18.0" customHeight="1">
      <c r="A496" s="35"/>
      <c r="B496" s="37" t="s">
        <v>722</v>
      </c>
      <c r="C496" s="38">
        <v>44619.0</v>
      </c>
      <c r="D496" s="37">
        <v>32.0</v>
      </c>
      <c r="E496" s="37">
        <v>308.0</v>
      </c>
      <c r="F496" s="37">
        <v>72.08</v>
      </c>
      <c r="G496" s="39">
        <v>1701.24</v>
      </c>
      <c r="H496" s="37" t="s">
        <v>723</v>
      </c>
      <c r="I496" s="52" t="s">
        <v>42</v>
      </c>
      <c r="J496" s="37" t="str">
        <f t="shared" si="4"/>
        <v>No</v>
      </c>
      <c r="K496" s="35"/>
      <c r="L496" s="35"/>
      <c r="M496" s="35"/>
      <c r="N496" s="4"/>
      <c r="O496" s="4"/>
      <c r="P496" s="50"/>
      <c r="Q496" s="50"/>
      <c r="R496" s="50"/>
      <c r="S496" s="51"/>
      <c r="T496" s="4"/>
      <c r="U496" s="4"/>
    </row>
    <row r="497" ht="18.0" customHeight="1">
      <c r="A497" s="35"/>
      <c r="B497" s="37" t="s">
        <v>724</v>
      </c>
      <c r="C497" s="38">
        <v>44894.0</v>
      </c>
      <c r="D497" s="37">
        <v>80.0</v>
      </c>
      <c r="E497" s="37">
        <v>458.0</v>
      </c>
      <c r="F497" s="37">
        <v>7.08</v>
      </c>
      <c r="G497" s="39">
        <v>6856.5</v>
      </c>
      <c r="H497" s="37" t="s">
        <v>725</v>
      </c>
      <c r="I497" s="52" t="s">
        <v>38</v>
      </c>
      <c r="J497" s="37" t="str">
        <f t="shared" si="4"/>
        <v>No</v>
      </c>
      <c r="K497" s="35"/>
      <c r="L497" s="35"/>
      <c r="M497" s="35"/>
      <c r="N497" s="4"/>
      <c r="O497" s="4"/>
      <c r="P497" s="50"/>
      <c r="Q497" s="50"/>
      <c r="R497" s="50"/>
      <c r="S497" s="51"/>
      <c r="T497" s="4"/>
      <c r="U497" s="4"/>
    </row>
    <row r="498" ht="18.0" customHeight="1">
      <c r="A498" s="35"/>
      <c r="B498" s="37" t="s">
        <v>726</v>
      </c>
      <c r="C498" s="38">
        <v>44704.0</v>
      </c>
      <c r="D498" s="37">
        <v>22.0</v>
      </c>
      <c r="E498" s="37">
        <v>651.0</v>
      </c>
      <c r="F498" s="37">
        <v>188.89</v>
      </c>
      <c r="G498" s="39">
        <v>8123.55</v>
      </c>
      <c r="H498" s="37" t="s">
        <v>727</v>
      </c>
      <c r="I498" s="52" t="s">
        <v>38</v>
      </c>
      <c r="J498" s="37" t="str">
        <f t="shared" si="4"/>
        <v>No</v>
      </c>
      <c r="K498" s="35"/>
      <c r="L498" s="35"/>
      <c r="M498" s="35"/>
      <c r="N498" s="4"/>
      <c r="O498" s="4"/>
      <c r="P498" s="50"/>
      <c r="Q498" s="50"/>
      <c r="R498" s="50"/>
      <c r="S498" s="51"/>
      <c r="T498" s="4"/>
      <c r="U498" s="4"/>
    </row>
    <row r="499" ht="18.0" customHeight="1">
      <c r="A499" s="35"/>
      <c r="B499" s="37" t="s">
        <v>728</v>
      </c>
      <c r="C499" s="38">
        <v>44883.0</v>
      </c>
      <c r="D499" s="37">
        <v>30.0</v>
      </c>
      <c r="E499" s="37">
        <v>61.0</v>
      </c>
      <c r="F499" s="37">
        <v>108.79</v>
      </c>
      <c r="G499" s="39">
        <v>5979.5</v>
      </c>
      <c r="H499" s="37" t="s">
        <v>729</v>
      </c>
      <c r="I499" s="52" t="s">
        <v>38</v>
      </c>
      <c r="J499" s="37" t="str">
        <f t="shared" si="4"/>
        <v>No</v>
      </c>
      <c r="K499" s="35"/>
      <c r="L499" s="35"/>
      <c r="M499" s="35"/>
      <c r="N499" s="4"/>
      <c r="O499" s="4"/>
      <c r="P499" s="50"/>
      <c r="Q499" s="50"/>
      <c r="R499" s="50"/>
      <c r="S499" s="51"/>
      <c r="T499" s="4"/>
      <c r="U499" s="4"/>
    </row>
    <row r="500" ht="18.0" customHeight="1">
      <c r="A500" s="35"/>
      <c r="B500" s="37" t="s">
        <v>730</v>
      </c>
      <c r="C500" s="38">
        <v>44614.0</v>
      </c>
      <c r="D500" s="37">
        <v>35.0</v>
      </c>
      <c r="E500" s="37">
        <v>781.0</v>
      </c>
      <c r="F500" s="37">
        <v>198.99</v>
      </c>
      <c r="G500" s="39">
        <v>8804.54</v>
      </c>
      <c r="H500" s="37" t="s">
        <v>731</v>
      </c>
      <c r="I500" s="52" t="s">
        <v>50</v>
      </c>
      <c r="J500" s="37" t="str">
        <f t="shared" si="4"/>
        <v>No</v>
      </c>
      <c r="K500" s="35"/>
      <c r="L500" s="35"/>
      <c r="M500" s="35"/>
      <c r="N500" s="4"/>
      <c r="O500" s="4"/>
      <c r="P500" s="50"/>
      <c r="Q500" s="50"/>
      <c r="R500" s="50"/>
      <c r="S500" s="51"/>
      <c r="T500" s="4"/>
      <c r="U500" s="4"/>
    </row>
    <row r="501" ht="18.0" customHeight="1">
      <c r="A501" s="35"/>
      <c r="B501" s="37" t="s">
        <v>732</v>
      </c>
      <c r="C501" s="38">
        <v>44793.0</v>
      </c>
      <c r="D501" s="37">
        <v>39.0</v>
      </c>
      <c r="E501" s="37">
        <v>682.0</v>
      </c>
      <c r="F501" s="37">
        <v>93.32</v>
      </c>
      <c r="G501" s="39">
        <v>5823.48</v>
      </c>
      <c r="H501" s="37" t="s">
        <v>733</v>
      </c>
      <c r="I501" s="52" t="s">
        <v>50</v>
      </c>
      <c r="J501" s="37" t="str">
        <f t="shared" si="4"/>
        <v>No</v>
      </c>
      <c r="K501" s="35"/>
      <c r="L501" s="35"/>
      <c r="M501" s="35"/>
      <c r="N501" s="4"/>
      <c r="O501" s="4"/>
      <c r="P501" s="50"/>
      <c r="Q501" s="50"/>
      <c r="R501" s="50"/>
      <c r="S501" s="51"/>
      <c r="T501" s="4"/>
      <c r="U501" s="4"/>
    </row>
    <row r="502" ht="18.0" customHeight="1">
      <c r="A502" s="35"/>
      <c r="B502" s="37" t="s">
        <v>734</v>
      </c>
      <c r="C502" s="38">
        <v>44641.0</v>
      </c>
      <c r="D502" s="37">
        <v>36.0</v>
      </c>
      <c r="E502" s="37">
        <v>724.0</v>
      </c>
      <c r="F502" s="37">
        <v>114.0</v>
      </c>
      <c r="G502" s="39">
        <v>1357.83</v>
      </c>
      <c r="H502" s="37" t="s">
        <v>735</v>
      </c>
      <c r="I502" s="52" t="s">
        <v>42</v>
      </c>
      <c r="J502" s="37" t="str">
        <f t="shared" si="4"/>
        <v>No</v>
      </c>
      <c r="K502" s="35"/>
      <c r="L502" s="35"/>
      <c r="M502" s="35"/>
      <c r="N502" s="4"/>
      <c r="O502" s="4"/>
      <c r="P502" s="50"/>
      <c r="Q502" s="50"/>
      <c r="R502" s="50"/>
      <c r="S502" s="51"/>
      <c r="T502" s="4"/>
      <c r="U502" s="4"/>
    </row>
    <row r="503" ht="18.0" customHeight="1">
      <c r="A503" s="35"/>
      <c r="B503" s="37" t="s">
        <v>736</v>
      </c>
      <c r="C503" s="38">
        <v>44758.0</v>
      </c>
      <c r="D503" s="37">
        <v>65.0</v>
      </c>
      <c r="E503" s="37">
        <v>996.0</v>
      </c>
      <c r="F503" s="37">
        <v>165.3</v>
      </c>
      <c r="G503" s="39">
        <v>7251.73</v>
      </c>
      <c r="H503" s="37" t="s">
        <v>737</v>
      </c>
      <c r="I503" s="52" t="s">
        <v>50</v>
      </c>
      <c r="J503" s="37" t="str">
        <f t="shared" si="4"/>
        <v>No</v>
      </c>
      <c r="K503" s="35"/>
      <c r="L503" s="35"/>
      <c r="M503" s="35"/>
      <c r="N503" s="4"/>
      <c r="O503" s="4"/>
      <c r="P503" s="50"/>
      <c r="Q503" s="50"/>
      <c r="R503" s="50"/>
      <c r="S503" s="51"/>
      <c r="T503" s="4"/>
      <c r="U503" s="4"/>
    </row>
    <row r="504" ht="18.0" customHeight="1">
      <c r="A504" s="35"/>
      <c r="B504" s="37" t="s">
        <v>738</v>
      </c>
      <c r="C504" s="38">
        <v>44585.0</v>
      </c>
      <c r="D504" s="37">
        <v>81.0</v>
      </c>
      <c r="E504" s="37">
        <v>397.0</v>
      </c>
      <c r="F504" s="37">
        <v>103.6</v>
      </c>
      <c r="G504" s="39">
        <v>3949.32</v>
      </c>
      <c r="H504" s="37" t="s">
        <v>528</v>
      </c>
      <c r="I504" s="52" t="s">
        <v>42</v>
      </c>
      <c r="J504" s="37" t="str">
        <f t="shared" si="4"/>
        <v>No</v>
      </c>
      <c r="K504" s="35"/>
      <c r="L504" s="35"/>
      <c r="M504" s="35"/>
      <c r="N504" s="4"/>
      <c r="O504" s="4"/>
      <c r="P504" s="50"/>
      <c r="Q504" s="50"/>
      <c r="R504" s="50"/>
      <c r="S504" s="51"/>
      <c r="T504" s="4"/>
      <c r="U504" s="4"/>
    </row>
    <row r="505" ht="18.0" customHeight="1">
      <c r="A505" s="35"/>
      <c r="B505" s="37" t="s">
        <v>739</v>
      </c>
      <c r="C505" s="38">
        <v>44910.0</v>
      </c>
      <c r="D505" s="37">
        <v>70.0</v>
      </c>
      <c r="E505" s="37">
        <v>383.0</v>
      </c>
      <c r="F505" s="37">
        <v>89.16</v>
      </c>
      <c r="G505" s="39">
        <v>7372.0</v>
      </c>
      <c r="H505" s="37" t="s">
        <v>740</v>
      </c>
      <c r="I505" s="52" t="s">
        <v>38</v>
      </c>
      <c r="J505" s="37" t="str">
        <f t="shared" si="4"/>
        <v>No</v>
      </c>
      <c r="K505" s="35"/>
      <c r="L505" s="35"/>
      <c r="M505" s="35"/>
      <c r="N505" s="4"/>
      <c r="O505" s="4"/>
      <c r="P505" s="50"/>
      <c r="Q505" s="50"/>
      <c r="R505" s="50"/>
      <c r="S505" s="51"/>
      <c r="T505" s="4"/>
      <c r="U505" s="4"/>
    </row>
    <row r="506" ht="18.0" customHeight="1">
      <c r="A506" s="35"/>
      <c r="B506" s="37" t="s">
        <v>741</v>
      </c>
      <c r="C506" s="38">
        <v>44833.0</v>
      </c>
      <c r="D506" s="37">
        <v>6.0</v>
      </c>
      <c r="E506" s="37">
        <v>480.0</v>
      </c>
      <c r="F506" s="37">
        <v>151.02</v>
      </c>
      <c r="G506" s="39">
        <v>7854.47</v>
      </c>
      <c r="H506" s="37" t="s">
        <v>526</v>
      </c>
      <c r="I506" s="52" t="s">
        <v>42</v>
      </c>
      <c r="J506" s="37" t="str">
        <f t="shared" si="4"/>
        <v>No</v>
      </c>
      <c r="K506" s="35"/>
      <c r="L506" s="35"/>
      <c r="M506" s="35"/>
      <c r="N506" s="4"/>
      <c r="O506" s="4"/>
      <c r="P506" s="50"/>
      <c r="Q506" s="50"/>
      <c r="R506" s="50"/>
      <c r="S506" s="51"/>
      <c r="T506" s="4"/>
      <c r="U506" s="4"/>
    </row>
    <row r="507" ht="18.0" customHeight="1">
      <c r="A507" s="35"/>
      <c r="B507" s="37" t="s">
        <v>742</v>
      </c>
      <c r="C507" s="38">
        <v>44699.0</v>
      </c>
      <c r="D507" s="37">
        <v>93.0</v>
      </c>
      <c r="E507" s="37">
        <v>671.0</v>
      </c>
      <c r="F507" s="37">
        <v>65.81</v>
      </c>
      <c r="G507" s="39">
        <v>329.96</v>
      </c>
      <c r="H507" s="37" t="s">
        <v>743</v>
      </c>
      <c r="I507" s="52" t="s">
        <v>38</v>
      </c>
      <c r="J507" s="37" t="str">
        <f t="shared" si="4"/>
        <v>No</v>
      </c>
      <c r="K507" s="35"/>
      <c r="L507" s="35"/>
      <c r="M507" s="35"/>
      <c r="N507" s="4"/>
      <c r="O507" s="4"/>
      <c r="P507" s="50"/>
      <c r="Q507" s="50"/>
      <c r="R507" s="50"/>
      <c r="S507" s="51"/>
      <c r="T507" s="4"/>
      <c r="U507" s="4"/>
    </row>
    <row r="508" ht="18.0" customHeight="1">
      <c r="A508" s="35"/>
      <c r="B508" s="37" t="s">
        <v>48</v>
      </c>
      <c r="C508" s="38">
        <v>44889.0</v>
      </c>
      <c r="D508" s="37">
        <v>84.0</v>
      </c>
      <c r="E508" s="37">
        <v>771.0</v>
      </c>
      <c r="F508" s="37">
        <v>91.37</v>
      </c>
      <c r="G508" s="39">
        <v>3093.27</v>
      </c>
      <c r="H508" s="37" t="s">
        <v>744</v>
      </c>
      <c r="I508" s="52" t="s">
        <v>42</v>
      </c>
      <c r="J508" s="37" t="str">
        <f t="shared" si="4"/>
        <v>No</v>
      </c>
      <c r="K508" s="35"/>
      <c r="L508" s="35"/>
      <c r="M508" s="35"/>
      <c r="N508" s="4"/>
      <c r="O508" s="4"/>
      <c r="P508" s="50"/>
      <c r="Q508" s="50"/>
      <c r="R508" s="50"/>
      <c r="S508" s="51"/>
      <c r="T508" s="4"/>
      <c r="U508" s="4"/>
    </row>
    <row r="509" ht="18.0" customHeight="1">
      <c r="A509" s="35"/>
      <c r="B509" s="37" t="s">
        <v>745</v>
      </c>
      <c r="C509" s="38">
        <v>44705.0</v>
      </c>
      <c r="D509" s="37">
        <v>74.0</v>
      </c>
      <c r="E509" s="37">
        <v>497.0</v>
      </c>
      <c r="F509" s="37">
        <v>101.95</v>
      </c>
      <c r="G509" s="39">
        <v>9012.47</v>
      </c>
      <c r="H509" s="37" t="s">
        <v>746</v>
      </c>
      <c r="I509" s="52" t="s">
        <v>42</v>
      </c>
      <c r="J509" s="37" t="str">
        <f t="shared" si="4"/>
        <v>No</v>
      </c>
      <c r="K509" s="35"/>
      <c r="L509" s="35"/>
      <c r="M509" s="35"/>
      <c r="N509" s="4"/>
      <c r="O509" s="4"/>
      <c r="P509" s="50"/>
      <c r="Q509" s="50"/>
      <c r="R509" s="50"/>
      <c r="S509" s="51"/>
      <c r="T509" s="4"/>
      <c r="U509" s="4"/>
    </row>
    <row r="510" ht="18.0" customHeight="1">
      <c r="A510" s="35"/>
      <c r="B510" s="37" t="s">
        <v>21</v>
      </c>
      <c r="C510" s="38">
        <v>44590.0</v>
      </c>
      <c r="D510" s="37">
        <v>49.0</v>
      </c>
      <c r="E510" s="37">
        <v>884.0</v>
      </c>
      <c r="F510" s="37">
        <v>242.1</v>
      </c>
      <c r="G510" s="39">
        <v>7357.83</v>
      </c>
      <c r="H510" s="37" t="s">
        <v>747</v>
      </c>
      <c r="I510" s="52" t="s">
        <v>50</v>
      </c>
      <c r="J510" s="37" t="str">
        <f t="shared" si="4"/>
        <v>No</v>
      </c>
      <c r="K510" s="35"/>
      <c r="L510" s="35"/>
      <c r="M510" s="35"/>
      <c r="N510" s="4"/>
      <c r="O510" s="4"/>
      <c r="P510" s="50"/>
      <c r="Q510" s="50"/>
      <c r="R510" s="50"/>
      <c r="S510" s="51"/>
      <c r="T510" s="4"/>
      <c r="U510" s="4"/>
    </row>
    <row r="511" ht="18.0" customHeight="1">
      <c r="A511" s="35"/>
      <c r="B511" s="37" t="s">
        <v>748</v>
      </c>
      <c r="C511" s="38">
        <v>44589.0</v>
      </c>
      <c r="D511" s="37">
        <v>82.0</v>
      </c>
      <c r="E511" s="37">
        <v>908.0</v>
      </c>
      <c r="F511" s="37">
        <v>5.34</v>
      </c>
      <c r="G511" s="39">
        <v>2371.14</v>
      </c>
      <c r="H511" s="37" t="s">
        <v>749</v>
      </c>
      <c r="I511" s="52" t="s">
        <v>38</v>
      </c>
      <c r="J511" s="37" t="str">
        <f t="shared" si="4"/>
        <v>No</v>
      </c>
      <c r="K511" s="35"/>
      <c r="L511" s="35"/>
      <c r="M511" s="35"/>
      <c r="N511" s="4"/>
      <c r="O511" s="4"/>
      <c r="P511" s="50"/>
      <c r="Q511" s="50"/>
      <c r="R511" s="50"/>
      <c r="S511" s="51"/>
      <c r="T511" s="4"/>
      <c r="U511" s="4"/>
    </row>
    <row r="512" ht="18.0" customHeight="1">
      <c r="A512" s="35"/>
      <c r="B512" s="37" t="s">
        <v>750</v>
      </c>
      <c r="C512" s="38">
        <v>44775.0</v>
      </c>
      <c r="D512" s="37">
        <v>69.0</v>
      </c>
      <c r="E512" s="37">
        <v>765.0</v>
      </c>
      <c r="F512" s="37">
        <v>33.68</v>
      </c>
      <c r="G512" s="39">
        <v>4281.11</v>
      </c>
      <c r="H512" s="37" t="s">
        <v>751</v>
      </c>
      <c r="I512" s="52" t="s">
        <v>50</v>
      </c>
      <c r="J512" s="37" t="str">
        <f t="shared" si="4"/>
        <v>No</v>
      </c>
      <c r="K512" s="35"/>
      <c r="L512" s="35"/>
      <c r="M512" s="35"/>
      <c r="N512" s="4"/>
      <c r="O512" s="4"/>
      <c r="P512" s="50"/>
      <c r="Q512" s="50"/>
      <c r="R512" s="50"/>
      <c r="S512" s="51"/>
      <c r="T512" s="4"/>
      <c r="U512" s="4"/>
    </row>
    <row r="513" ht="18.0" customHeight="1">
      <c r="A513" s="35"/>
      <c r="B513" s="37" t="s">
        <v>752</v>
      </c>
      <c r="C513" s="38">
        <v>44851.0</v>
      </c>
      <c r="D513" s="37">
        <v>80.0</v>
      </c>
      <c r="E513" s="37">
        <v>980.0</v>
      </c>
      <c r="F513" s="37">
        <v>99.91</v>
      </c>
      <c r="G513" s="39">
        <v>9163.77</v>
      </c>
      <c r="H513" s="37" t="s">
        <v>753</v>
      </c>
      <c r="I513" s="52" t="s">
        <v>38</v>
      </c>
      <c r="J513" s="37" t="str">
        <f t="shared" si="4"/>
        <v>No</v>
      </c>
      <c r="K513" s="35"/>
      <c r="L513" s="35"/>
      <c r="M513" s="35"/>
      <c r="N513" s="4"/>
      <c r="O513" s="4"/>
      <c r="P513" s="50"/>
      <c r="Q513" s="50"/>
      <c r="R513" s="50"/>
      <c r="S513" s="51"/>
      <c r="T513" s="4"/>
      <c r="U513" s="4"/>
    </row>
    <row r="514" ht="18.0" customHeight="1">
      <c r="A514" s="35"/>
      <c r="B514" s="37" t="s">
        <v>754</v>
      </c>
      <c r="C514" s="38">
        <v>44574.0</v>
      </c>
      <c r="D514" s="37">
        <v>25.0</v>
      </c>
      <c r="E514" s="37">
        <v>685.0</v>
      </c>
      <c r="F514" s="37">
        <v>96.79</v>
      </c>
      <c r="G514" s="39">
        <v>3491.03</v>
      </c>
      <c r="H514" s="37" t="s">
        <v>755</v>
      </c>
      <c r="I514" s="52" t="s">
        <v>42</v>
      </c>
      <c r="J514" s="37" t="str">
        <f t="shared" si="4"/>
        <v>No</v>
      </c>
      <c r="K514" s="35"/>
      <c r="L514" s="35"/>
      <c r="M514" s="35"/>
      <c r="N514" s="4"/>
      <c r="O514" s="4"/>
      <c r="P514" s="50"/>
      <c r="Q514" s="50"/>
      <c r="R514" s="50"/>
      <c r="S514" s="51"/>
      <c r="T514" s="4"/>
      <c r="U514" s="4"/>
    </row>
    <row r="515" ht="18.0" customHeight="1">
      <c r="A515" s="35"/>
      <c r="B515" s="37" t="s">
        <v>756</v>
      </c>
      <c r="C515" s="38">
        <v>44867.0</v>
      </c>
      <c r="D515" s="37">
        <v>8.0</v>
      </c>
      <c r="E515" s="37">
        <v>664.0</v>
      </c>
      <c r="F515" s="37">
        <v>223.19</v>
      </c>
      <c r="G515" s="39">
        <v>4304.09</v>
      </c>
      <c r="H515" s="37" t="s">
        <v>757</v>
      </c>
      <c r="I515" s="52" t="s">
        <v>50</v>
      </c>
      <c r="J515" s="37" t="str">
        <f t="shared" si="4"/>
        <v>No</v>
      </c>
      <c r="K515" s="35"/>
      <c r="L515" s="35"/>
      <c r="M515" s="35"/>
      <c r="N515" s="4"/>
      <c r="O515" s="4"/>
      <c r="P515" s="50"/>
      <c r="Q515" s="50"/>
      <c r="R515" s="50"/>
      <c r="S515" s="51"/>
      <c r="T515" s="4"/>
      <c r="U515" s="4"/>
    </row>
    <row r="516" ht="18.0" customHeight="1">
      <c r="A516" s="35"/>
      <c r="B516" s="37" t="s">
        <v>758</v>
      </c>
      <c r="C516" s="38">
        <v>44842.0</v>
      </c>
      <c r="D516" s="37">
        <v>31.0</v>
      </c>
      <c r="E516" s="37">
        <v>789.0</v>
      </c>
      <c r="F516" s="37">
        <v>14.27</v>
      </c>
      <c r="G516" s="39">
        <v>8815.03</v>
      </c>
      <c r="H516" s="37" t="s">
        <v>518</v>
      </c>
      <c r="I516" s="52" t="s">
        <v>38</v>
      </c>
      <c r="J516" s="37" t="str">
        <f t="shared" si="4"/>
        <v>No</v>
      </c>
      <c r="K516" s="35"/>
      <c r="L516" s="35"/>
      <c r="M516" s="35"/>
      <c r="N516" s="4"/>
      <c r="O516" s="4"/>
      <c r="P516" s="50"/>
      <c r="Q516" s="50"/>
      <c r="R516" s="50"/>
      <c r="S516" s="51"/>
      <c r="T516" s="4"/>
      <c r="U516" s="4"/>
    </row>
    <row r="517" ht="18.0" customHeight="1">
      <c r="A517" s="35"/>
      <c r="B517" s="37" t="s">
        <v>759</v>
      </c>
      <c r="C517" s="38">
        <v>44703.0</v>
      </c>
      <c r="D517" s="37">
        <v>52.0</v>
      </c>
      <c r="E517" s="37">
        <v>886.0</v>
      </c>
      <c r="F517" s="37">
        <v>51.53</v>
      </c>
      <c r="G517" s="39">
        <v>5478.2</v>
      </c>
      <c r="H517" s="37" t="s">
        <v>760</v>
      </c>
      <c r="I517" s="52" t="s">
        <v>42</v>
      </c>
      <c r="J517" s="37" t="str">
        <f t="shared" si="4"/>
        <v>No</v>
      </c>
      <c r="K517" s="35"/>
      <c r="L517" s="35"/>
      <c r="M517" s="35"/>
      <c r="N517" s="4"/>
      <c r="O517" s="4"/>
      <c r="P517" s="50"/>
      <c r="Q517" s="50"/>
      <c r="R517" s="50"/>
      <c r="S517" s="51"/>
      <c r="T517" s="4"/>
      <c r="U517" s="4"/>
    </row>
    <row r="518" ht="18.0" customHeight="1">
      <c r="A518" s="35"/>
      <c r="B518" s="37" t="s">
        <v>761</v>
      </c>
      <c r="C518" s="38">
        <v>44740.0</v>
      </c>
      <c r="D518" s="37">
        <v>3.0</v>
      </c>
      <c r="E518" s="37">
        <v>531.0</v>
      </c>
      <c r="F518" s="37">
        <v>62.64</v>
      </c>
      <c r="G518" s="39">
        <v>7332.34</v>
      </c>
      <c r="H518" s="37" t="s">
        <v>762</v>
      </c>
      <c r="I518" s="52" t="s">
        <v>42</v>
      </c>
      <c r="J518" s="37" t="str">
        <f t="shared" si="4"/>
        <v>No</v>
      </c>
      <c r="K518" s="35"/>
      <c r="L518" s="35"/>
      <c r="M518" s="35"/>
      <c r="N518" s="4"/>
      <c r="O518" s="4"/>
      <c r="P518" s="50"/>
      <c r="Q518" s="50"/>
      <c r="R518" s="50"/>
      <c r="S518" s="51"/>
      <c r="T518" s="4"/>
      <c r="U518" s="4"/>
    </row>
    <row r="519" ht="18.0" customHeight="1">
      <c r="A519" s="35"/>
      <c r="B519" s="37" t="s">
        <v>763</v>
      </c>
      <c r="C519" s="38">
        <v>44605.0</v>
      </c>
      <c r="D519" s="37">
        <v>61.0</v>
      </c>
      <c r="E519" s="37">
        <v>472.0</v>
      </c>
      <c r="F519" s="37">
        <v>50.15</v>
      </c>
      <c r="G519" s="39">
        <v>2403.32</v>
      </c>
      <c r="H519" s="37" t="s">
        <v>87</v>
      </c>
      <c r="I519" s="52" t="s">
        <v>38</v>
      </c>
      <c r="J519" s="37" t="str">
        <f t="shared" si="4"/>
        <v>No</v>
      </c>
      <c r="K519" s="35"/>
      <c r="L519" s="35"/>
      <c r="M519" s="35"/>
      <c r="N519" s="4"/>
      <c r="O519" s="4"/>
      <c r="P519" s="50"/>
      <c r="Q519" s="50"/>
      <c r="R519" s="50"/>
      <c r="S519" s="51"/>
      <c r="T519" s="4"/>
      <c r="U519" s="4"/>
    </row>
    <row r="520" ht="18.0" customHeight="1">
      <c r="A520" s="35"/>
      <c r="B520" s="37" t="s">
        <v>764</v>
      </c>
      <c r="C520" s="38">
        <v>44736.0</v>
      </c>
      <c r="D520" s="37">
        <v>89.0</v>
      </c>
      <c r="E520" s="37">
        <v>763.0</v>
      </c>
      <c r="F520" s="37">
        <v>58.82</v>
      </c>
      <c r="G520" s="39">
        <v>5303.0</v>
      </c>
      <c r="H520" s="37" t="s">
        <v>37</v>
      </c>
      <c r="I520" s="52" t="s">
        <v>38</v>
      </c>
      <c r="J520" s="37" t="str">
        <f t="shared" si="4"/>
        <v>No</v>
      </c>
      <c r="K520" s="35"/>
      <c r="L520" s="35"/>
      <c r="M520" s="35"/>
      <c r="N520" s="4"/>
      <c r="O520" s="4"/>
      <c r="P520" s="50"/>
      <c r="Q520" s="50"/>
      <c r="R520" s="50"/>
      <c r="S520" s="51"/>
      <c r="T520" s="4"/>
      <c r="U520" s="4"/>
    </row>
    <row r="521" ht="18.0" customHeight="1">
      <c r="A521" s="35"/>
      <c r="B521" s="37" t="s">
        <v>765</v>
      </c>
      <c r="C521" s="38">
        <v>44718.0</v>
      </c>
      <c r="D521" s="37">
        <v>43.0</v>
      </c>
      <c r="E521" s="37">
        <v>480.0</v>
      </c>
      <c r="F521" s="37">
        <v>14.17</v>
      </c>
      <c r="G521" s="39">
        <v>9476.74</v>
      </c>
      <c r="H521" s="37" t="s">
        <v>41</v>
      </c>
      <c r="I521" s="52" t="s">
        <v>38</v>
      </c>
      <c r="J521" s="37" t="str">
        <f t="shared" si="4"/>
        <v>No</v>
      </c>
      <c r="K521" s="35"/>
      <c r="L521" s="35"/>
      <c r="M521" s="35"/>
      <c r="N521" s="4"/>
      <c r="O521" s="4"/>
      <c r="P521" s="50"/>
      <c r="Q521" s="50"/>
      <c r="R521" s="50"/>
      <c r="S521" s="51"/>
      <c r="T521" s="4"/>
      <c r="U521" s="4"/>
    </row>
    <row r="522" ht="18.0" customHeight="1">
      <c r="A522" s="35"/>
      <c r="B522" s="37" t="s">
        <v>766</v>
      </c>
      <c r="C522" s="38">
        <v>44656.0</v>
      </c>
      <c r="D522" s="37">
        <v>78.0</v>
      </c>
      <c r="E522" s="37">
        <v>950.0</v>
      </c>
      <c r="F522" s="37">
        <v>98.07</v>
      </c>
      <c r="G522" s="39">
        <v>7805.98</v>
      </c>
      <c r="H522" s="37" t="s">
        <v>45</v>
      </c>
      <c r="I522" s="52" t="s">
        <v>42</v>
      </c>
      <c r="J522" s="37" t="str">
        <f t="shared" si="4"/>
        <v>Yes</v>
      </c>
      <c r="K522" s="35"/>
      <c r="L522" s="35"/>
      <c r="M522" s="35"/>
      <c r="N522" s="4"/>
      <c r="O522" s="4"/>
      <c r="P522" s="50"/>
      <c r="Q522" s="50"/>
      <c r="R522" s="50"/>
      <c r="S522" s="51"/>
      <c r="T522" s="4"/>
      <c r="U522" s="4"/>
    </row>
    <row r="523" ht="18.0" customHeight="1">
      <c r="A523" s="35"/>
      <c r="B523" s="37" t="s">
        <v>767</v>
      </c>
      <c r="C523" s="38">
        <v>44665.0</v>
      </c>
      <c r="D523" s="37">
        <v>79.0</v>
      </c>
      <c r="E523" s="37">
        <v>179.0</v>
      </c>
      <c r="F523" s="37">
        <v>75.42</v>
      </c>
      <c r="G523" s="39">
        <v>2717.9</v>
      </c>
      <c r="H523" s="37" t="s">
        <v>49</v>
      </c>
      <c r="I523" s="52" t="s">
        <v>38</v>
      </c>
      <c r="J523" s="37" t="str">
        <f t="shared" si="4"/>
        <v>No</v>
      </c>
      <c r="K523" s="35"/>
      <c r="L523" s="35"/>
      <c r="M523" s="35"/>
      <c r="N523" s="4"/>
      <c r="O523" s="4"/>
      <c r="P523" s="50"/>
      <c r="Q523" s="50"/>
      <c r="R523" s="50"/>
      <c r="S523" s="51"/>
      <c r="T523" s="4"/>
      <c r="U523" s="4"/>
    </row>
    <row r="524" ht="18.0" customHeight="1">
      <c r="A524" s="35"/>
      <c r="B524" s="37" t="s">
        <v>768</v>
      </c>
      <c r="C524" s="38">
        <v>44663.0</v>
      </c>
      <c r="D524" s="37">
        <v>97.0</v>
      </c>
      <c r="E524" s="37">
        <v>336.0</v>
      </c>
      <c r="F524" s="37">
        <v>206.49</v>
      </c>
      <c r="G524" s="39">
        <v>6059.51</v>
      </c>
      <c r="H524" s="37" t="s">
        <v>53</v>
      </c>
      <c r="I524" s="52" t="s">
        <v>38</v>
      </c>
      <c r="J524" s="37" t="str">
        <f t="shared" si="4"/>
        <v>No</v>
      </c>
      <c r="K524" s="35"/>
      <c r="L524" s="35"/>
      <c r="M524" s="35"/>
      <c r="N524" s="4"/>
      <c r="O524" s="4"/>
      <c r="P524" s="50"/>
      <c r="Q524" s="50"/>
      <c r="R524" s="50"/>
      <c r="S524" s="51"/>
      <c r="T524" s="4"/>
      <c r="U524" s="4"/>
    </row>
    <row r="525" ht="18.0" customHeight="1">
      <c r="A525" s="35"/>
      <c r="B525" s="37" t="s">
        <v>769</v>
      </c>
      <c r="C525" s="38">
        <v>44738.0</v>
      </c>
      <c r="D525" s="37">
        <v>51.0</v>
      </c>
      <c r="E525" s="37">
        <v>887.0</v>
      </c>
      <c r="F525" s="37">
        <v>57.45</v>
      </c>
      <c r="G525" s="39">
        <v>5254.22</v>
      </c>
      <c r="H525" s="37" t="s">
        <v>56</v>
      </c>
      <c r="I525" s="52" t="s">
        <v>42</v>
      </c>
      <c r="J525" s="37" t="str">
        <f t="shared" si="4"/>
        <v>No</v>
      </c>
      <c r="K525" s="35"/>
      <c r="L525" s="35"/>
      <c r="M525" s="35"/>
      <c r="N525" s="4"/>
      <c r="O525" s="4"/>
      <c r="P525" s="50"/>
      <c r="Q525" s="50"/>
      <c r="R525" s="50"/>
      <c r="S525" s="51"/>
      <c r="T525" s="4"/>
      <c r="U525" s="4"/>
    </row>
    <row r="526" ht="18.0" customHeight="1">
      <c r="A526" s="35"/>
      <c r="B526" s="37" t="s">
        <v>770</v>
      </c>
      <c r="C526" s="38">
        <v>44778.0</v>
      </c>
      <c r="D526" s="37">
        <v>75.0</v>
      </c>
      <c r="E526" s="37">
        <v>878.0</v>
      </c>
      <c r="F526" s="37">
        <v>240.59</v>
      </c>
      <c r="G526" s="39">
        <v>3292.89</v>
      </c>
      <c r="H526" s="37" t="s">
        <v>59</v>
      </c>
      <c r="I526" s="52" t="s">
        <v>42</v>
      </c>
      <c r="J526" s="37" t="str">
        <f t="shared" si="4"/>
        <v>No</v>
      </c>
      <c r="K526" s="35"/>
      <c r="L526" s="35"/>
      <c r="M526" s="35"/>
      <c r="N526" s="4"/>
      <c r="O526" s="4"/>
      <c r="P526" s="50"/>
      <c r="Q526" s="50"/>
      <c r="R526" s="50"/>
      <c r="S526" s="51"/>
      <c r="T526" s="4"/>
      <c r="U526" s="4"/>
    </row>
    <row r="527" ht="18.0" customHeight="1">
      <c r="A527" s="35"/>
      <c r="B527" s="37" t="s">
        <v>36</v>
      </c>
      <c r="C527" s="38">
        <v>44778.0</v>
      </c>
      <c r="D527" s="37">
        <v>31.0</v>
      </c>
      <c r="E527" s="37">
        <v>890.0</v>
      </c>
      <c r="F527" s="37">
        <v>164.73</v>
      </c>
      <c r="G527" s="39">
        <v>3358.88</v>
      </c>
      <c r="H527" s="37" t="s">
        <v>61</v>
      </c>
      <c r="I527" s="52" t="s">
        <v>42</v>
      </c>
      <c r="J527" s="37" t="str">
        <f t="shared" si="4"/>
        <v>No</v>
      </c>
      <c r="K527" s="35"/>
      <c r="L527" s="35"/>
      <c r="M527" s="35"/>
      <c r="N527" s="4"/>
      <c r="O527" s="4"/>
      <c r="P527" s="50"/>
      <c r="Q527" s="50"/>
      <c r="R527" s="50"/>
      <c r="S527" s="51"/>
      <c r="T527" s="4"/>
      <c r="U527" s="4"/>
    </row>
    <row r="528" ht="18.0" customHeight="1">
      <c r="A528" s="35"/>
      <c r="B528" s="37" t="s">
        <v>17</v>
      </c>
      <c r="C528" s="38">
        <v>44669.0</v>
      </c>
      <c r="D528" s="37">
        <v>85.0</v>
      </c>
      <c r="E528" s="37">
        <v>373.0</v>
      </c>
      <c r="F528" s="37">
        <v>65.09</v>
      </c>
      <c r="G528" s="39">
        <v>4007.63</v>
      </c>
      <c r="H528" s="37" t="s">
        <v>63</v>
      </c>
      <c r="I528" s="52" t="s">
        <v>42</v>
      </c>
      <c r="J528" s="37" t="str">
        <f t="shared" si="4"/>
        <v>No</v>
      </c>
      <c r="K528" s="35"/>
      <c r="L528" s="35"/>
      <c r="M528" s="35"/>
      <c r="N528" s="4"/>
      <c r="O528" s="4"/>
      <c r="P528" s="50"/>
      <c r="Q528" s="50"/>
      <c r="R528" s="50"/>
      <c r="S528" s="51"/>
      <c r="T528" s="4"/>
      <c r="U528" s="4"/>
    </row>
    <row r="529" ht="18.0" customHeight="1">
      <c r="A529" s="35"/>
      <c r="B529" s="37" t="s">
        <v>771</v>
      </c>
      <c r="C529" s="38">
        <v>44757.0</v>
      </c>
      <c r="D529" s="37">
        <v>67.0</v>
      </c>
      <c r="E529" s="37">
        <v>631.0</v>
      </c>
      <c r="F529" s="37">
        <v>210.27</v>
      </c>
      <c r="G529" s="39">
        <v>9544.42</v>
      </c>
      <c r="H529" s="37" t="s">
        <v>66</v>
      </c>
      <c r="I529" s="52" t="s">
        <v>42</v>
      </c>
      <c r="J529" s="37" t="str">
        <f t="shared" si="4"/>
        <v>No</v>
      </c>
      <c r="K529" s="35"/>
      <c r="L529" s="35"/>
      <c r="M529" s="35"/>
      <c r="N529" s="4"/>
      <c r="O529" s="4"/>
      <c r="P529" s="50"/>
      <c r="Q529" s="50"/>
      <c r="R529" s="50"/>
      <c r="S529" s="51"/>
      <c r="T529" s="4"/>
      <c r="U529" s="4"/>
    </row>
    <row r="530" ht="18.0" customHeight="1">
      <c r="A530" s="35"/>
      <c r="B530" s="37" t="s">
        <v>772</v>
      </c>
      <c r="C530" s="38">
        <v>44579.0</v>
      </c>
      <c r="D530" s="37">
        <v>63.0</v>
      </c>
      <c r="E530" s="37">
        <v>33.0</v>
      </c>
      <c r="F530" s="37">
        <v>226.62</v>
      </c>
      <c r="G530" s="39">
        <v>667.18</v>
      </c>
      <c r="H530" s="37" t="s">
        <v>68</v>
      </c>
      <c r="I530" s="52" t="s">
        <v>42</v>
      </c>
      <c r="J530" s="37" t="str">
        <f t="shared" si="4"/>
        <v>No</v>
      </c>
      <c r="K530" s="35"/>
      <c r="L530" s="35"/>
      <c r="M530" s="35"/>
      <c r="N530" s="4"/>
      <c r="O530" s="4"/>
      <c r="P530" s="50"/>
      <c r="Q530" s="50"/>
      <c r="R530" s="50"/>
      <c r="S530" s="51"/>
      <c r="T530" s="4"/>
      <c r="U530" s="4"/>
    </row>
    <row r="531" ht="18.0" customHeight="1">
      <c r="A531" s="35"/>
      <c r="B531" s="37" t="s">
        <v>773</v>
      </c>
      <c r="C531" s="38">
        <v>44668.0</v>
      </c>
      <c r="D531" s="37">
        <v>33.0</v>
      </c>
      <c r="E531" s="37">
        <v>49.0</v>
      </c>
      <c r="F531" s="37">
        <v>216.87</v>
      </c>
      <c r="G531" s="39">
        <v>679.75</v>
      </c>
      <c r="H531" s="37" t="s">
        <v>71</v>
      </c>
      <c r="I531" s="52" t="s">
        <v>42</v>
      </c>
      <c r="J531" s="37" t="str">
        <f t="shared" si="4"/>
        <v>No</v>
      </c>
      <c r="K531" s="35"/>
      <c r="L531" s="35"/>
      <c r="M531" s="35"/>
      <c r="N531" s="4"/>
      <c r="O531" s="4"/>
      <c r="P531" s="50"/>
      <c r="Q531" s="50"/>
      <c r="R531" s="50"/>
      <c r="S531" s="51"/>
      <c r="T531" s="4"/>
      <c r="U531" s="4"/>
    </row>
    <row r="532" ht="18.0" customHeight="1">
      <c r="A532" s="35"/>
      <c r="B532" s="37" t="s">
        <v>774</v>
      </c>
      <c r="C532" s="38">
        <v>44667.0</v>
      </c>
      <c r="D532" s="37">
        <v>99.0</v>
      </c>
      <c r="E532" s="37">
        <v>748.0</v>
      </c>
      <c r="F532" s="37">
        <v>225.06</v>
      </c>
      <c r="G532" s="39">
        <v>1503.42</v>
      </c>
      <c r="H532" s="37" t="s">
        <v>775</v>
      </c>
      <c r="I532" s="52" t="s">
        <v>38</v>
      </c>
      <c r="J532" s="37" t="str">
        <f t="shared" si="4"/>
        <v>No</v>
      </c>
      <c r="K532" s="35"/>
      <c r="L532" s="35"/>
      <c r="M532" s="35"/>
      <c r="N532" s="4"/>
      <c r="O532" s="4"/>
      <c r="P532" s="50"/>
      <c r="Q532" s="50"/>
      <c r="R532" s="50"/>
      <c r="S532" s="51"/>
      <c r="T532" s="4"/>
      <c r="U532" s="4"/>
    </row>
    <row r="533" ht="18.0" customHeight="1">
      <c r="A533" s="35"/>
      <c r="B533" s="37" t="s">
        <v>776</v>
      </c>
      <c r="C533" s="38">
        <v>44745.0</v>
      </c>
      <c r="D533" s="37">
        <v>32.0</v>
      </c>
      <c r="E533" s="37">
        <v>952.0</v>
      </c>
      <c r="F533" s="37">
        <v>238.55</v>
      </c>
      <c r="G533" s="39">
        <v>7536.05</v>
      </c>
      <c r="H533" s="37" t="s">
        <v>777</v>
      </c>
      <c r="I533" s="52" t="s">
        <v>42</v>
      </c>
      <c r="J533" s="37" t="str">
        <f t="shared" si="4"/>
        <v>No</v>
      </c>
      <c r="K533" s="35"/>
      <c r="L533" s="35"/>
      <c r="M533" s="35"/>
      <c r="N533" s="4"/>
      <c r="O533" s="4"/>
      <c r="P533" s="50"/>
      <c r="Q533" s="50"/>
      <c r="R533" s="50"/>
      <c r="S533" s="51"/>
      <c r="T533" s="4"/>
      <c r="U533" s="4"/>
    </row>
    <row r="534" ht="18.0" customHeight="1">
      <c r="A534" s="35"/>
      <c r="B534" s="37" t="s">
        <v>778</v>
      </c>
      <c r="C534" s="38">
        <v>44789.0</v>
      </c>
      <c r="D534" s="37">
        <v>23.0</v>
      </c>
      <c r="E534" s="37">
        <v>13.0</v>
      </c>
      <c r="F534" s="37">
        <v>152.66</v>
      </c>
      <c r="G534" s="39">
        <v>2165.1</v>
      </c>
      <c r="H534" s="37" t="s">
        <v>779</v>
      </c>
      <c r="I534" s="52" t="s">
        <v>50</v>
      </c>
      <c r="J534" s="37" t="str">
        <f t="shared" si="4"/>
        <v>No</v>
      </c>
      <c r="K534" s="35"/>
      <c r="L534" s="35"/>
      <c r="M534" s="35"/>
      <c r="N534" s="4"/>
      <c r="O534" s="4"/>
      <c r="P534" s="50"/>
      <c r="Q534" s="50"/>
      <c r="R534" s="50"/>
      <c r="S534" s="51"/>
      <c r="T534" s="4"/>
      <c r="U534" s="4"/>
    </row>
    <row r="535" ht="18.0" customHeight="1">
      <c r="A535" s="35"/>
      <c r="B535" s="37" t="s">
        <v>780</v>
      </c>
      <c r="C535" s="38">
        <v>44760.0</v>
      </c>
      <c r="D535" s="37">
        <v>78.0</v>
      </c>
      <c r="E535" s="37">
        <v>950.0</v>
      </c>
      <c r="F535" s="37">
        <v>4.83</v>
      </c>
      <c r="G535" s="39">
        <v>98.27</v>
      </c>
      <c r="H535" s="37" t="s">
        <v>781</v>
      </c>
      <c r="I535" s="52" t="s">
        <v>50</v>
      </c>
      <c r="J535" s="37" t="str">
        <f t="shared" si="4"/>
        <v>Yes</v>
      </c>
      <c r="K535" s="35"/>
      <c r="L535" s="35"/>
      <c r="M535" s="35"/>
      <c r="N535" s="4"/>
      <c r="O535" s="4"/>
      <c r="P535" s="50"/>
      <c r="Q535" s="50"/>
      <c r="R535" s="50"/>
      <c r="S535" s="51"/>
      <c r="T535" s="4"/>
      <c r="U535" s="4"/>
    </row>
    <row r="536" ht="18.0" customHeight="1">
      <c r="A536" s="35"/>
      <c r="B536" s="37" t="s">
        <v>782</v>
      </c>
      <c r="C536" s="38">
        <v>44918.0</v>
      </c>
      <c r="D536" s="37">
        <v>94.0</v>
      </c>
      <c r="E536" s="37">
        <v>348.0</v>
      </c>
      <c r="F536" s="37">
        <v>93.94</v>
      </c>
      <c r="G536" s="39">
        <v>3914.97</v>
      </c>
      <c r="H536" s="37" t="s">
        <v>783</v>
      </c>
      <c r="I536" s="52" t="s">
        <v>38</v>
      </c>
      <c r="J536" s="37" t="str">
        <f t="shared" si="4"/>
        <v>No</v>
      </c>
      <c r="K536" s="35"/>
      <c r="L536" s="35"/>
      <c r="M536" s="35"/>
      <c r="N536" s="4"/>
      <c r="O536" s="4"/>
      <c r="P536" s="50"/>
      <c r="Q536" s="50"/>
      <c r="R536" s="50"/>
      <c r="S536" s="51"/>
      <c r="T536" s="4"/>
      <c r="U536" s="4"/>
    </row>
    <row r="537" ht="18.0" customHeight="1">
      <c r="A537" s="35"/>
      <c r="B537" s="37" t="s">
        <v>784</v>
      </c>
      <c r="C537" s="38">
        <v>44589.0</v>
      </c>
      <c r="D537" s="37">
        <v>79.0</v>
      </c>
      <c r="E537" s="37">
        <v>729.0</v>
      </c>
      <c r="F537" s="37">
        <v>243.18</v>
      </c>
      <c r="G537" s="39">
        <v>6197.61</v>
      </c>
      <c r="H537" s="37" t="s">
        <v>785</v>
      </c>
      <c r="I537" s="52" t="s">
        <v>50</v>
      </c>
      <c r="J537" s="37" t="str">
        <f t="shared" si="4"/>
        <v>No</v>
      </c>
      <c r="K537" s="35"/>
      <c r="L537" s="35"/>
      <c r="M537" s="35"/>
      <c r="N537" s="4"/>
      <c r="O537" s="4"/>
      <c r="P537" s="50"/>
      <c r="Q537" s="50"/>
      <c r="R537" s="50"/>
      <c r="S537" s="51"/>
      <c r="T537" s="4"/>
      <c r="U537" s="4"/>
    </row>
    <row r="538" ht="18.0" customHeight="1">
      <c r="A538" s="35"/>
      <c r="B538" s="37" t="s">
        <v>40</v>
      </c>
      <c r="C538" s="38">
        <v>44722.0</v>
      </c>
      <c r="D538" s="37">
        <v>52.0</v>
      </c>
      <c r="E538" s="37">
        <v>264.0</v>
      </c>
      <c r="F538" s="37">
        <v>69.12</v>
      </c>
      <c r="G538" s="39">
        <v>641.0</v>
      </c>
      <c r="H538" s="37" t="s">
        <v>786</v>
      </c>
      <c r="I538" s="52" t="s">
        <v>38</v>
      </c>
      <c r="J538" s="37" t="str">
        <f t="shared" si="4"/>
        <v>No</v>
      </c>
      <c r="K538" s="35"/>
      <c r="L538" s="35"/>
      <c r="M538" s="35"/>
      <c r="N538" s="4"/>
      <c r="O538" s="4"/>
      <c r="P538" s="50"/>
      <c r="Q538" s="50"/>
      <c r="R538" s="50"/>
      <c r="S538" s="51"/>
      <c r="T538" s="4"/>
      <c r="U538" s="4"/>
    </row>
    <row r="539" ht="18.0" customHeight="1">
      <c r="A539" s="35"/>
      <c r="B539" s="37" t="s">
        <v>787</v>
      </c>
      <c r="C539" s="38">
        <v>44829.0</v>
      </c>
      <c r="D539" s="37">
        <v>13.0</v>
      </c>
      <c r="E539" s="37">
        <v>788.0</v>
      </c>
      <c r="F539" s="37">
        <v>201.74</v>
      </c>
      <c r="G539" s="39">
        <v>6052.91</v>
      </c>
      <c r="H539" s="37" t="s">
        <v>788</v>
      </c>
      <c r="I539" s="52" t="s">
        <v>50</v>
      </c>
      <c r="J539" s="37" t="str">
        <f t="shared" si="4"/>
        <v>No</v>
      </c>
      <c r="K539" s="35"/>
      <c r="L539" s="35"/>
      <c r="M539" s="35"/>
      <c r="N539" s="4"/>
      <c r="O539" s="4"/>
      <c r="P539" s="50"/>
      <c r="Q539" s="50"/>
      <c r="R539" s="50"/>
      <c r="S539" s="51"/>
      <c r="T539" s="4"/>
      <c r="U539" s="4"/>
    </row>
    <row r="540" ht="18.0" customHeight="1">
      <c r="A540" s="35"/>
      <c r="B540" s="37" t="s">
        <v>789</v>
      </c>
      <c r="C540" s="38">
        <v>44610.0</v>
      </c>
      <c r="D540" s="37">
        <v>14.0</v>
      </c>
      <c r="E540" s="37">
        <v>528.0</v>
      </c>
      <c r="F540" s="37">
        <v>238.3</v>
      </c>
      <c r="G540" s="39">
        <v>7374.16</v>
      </c>
      <c r="H540" s="37" t="s">
        <v>790</v>
      </c>
      <c r="I540" s="52" t="s">
        <v>38</v>
      </c>
      <c r="J540" s="37" t="str">
        <f t="shared" si="4"/>
        <v>No</v>
      </c>
      <c r="K540" s="35"/>
      <c r="L540" s="35"/>
      <c r="M540" s="35"/>
      <c r="N540" s="4"/>
      <c r="O540" s="4"/>
      <c r="P540" s="50"/>
      <c r="Q540" s="50"/>
      <c r="R540" s="50"/>
      <c r="S540" s="51"/>
      <c r="T540" s="4"/>
      <c r="U540" s="4"/>
    </row>
    <row r="541" ht="18.0" customHeight="1">
      <c r="A541" s="35"/>
      <c r="B541" s="37" t="s">
        <v>791</v>
      </c>
      <c r="C541" s="38">
        <v>44612.0</v>
      </c>
      <c r="D541" s="37">
        <v>34.0</v>
      </c>
      <c r="E541" s="37">
        <v>150.0</v>
      </c>
      <c r="F541" s="37">
        <v>227.32</v>
      </c>
      <c r="G541" s="39">
        <v>9655.19</v>
      </c>
      <c r="H541" s="37" t="s">
        <v>792</v>
      </c>
      <c r="I541" s="52" t="s">
        <v>38</v>
      </c>
      <c r="J541" s="37" t="str">
        <f t="shared" si="4"/>
        <v>No</v>
      </c>
      <c r="K541" s="35"/>
      <c r="L541" s="35"/>
      <c r="M541" s="35"/>
      <c r="N541" s="4"/>
      <c r="O541" s="4"/>
      <c r="P541" s="50"/>
      <c r="Q541" s="50"/>
      <c r="R541" s="50"/>
      <c r="S541" s="51"/>
      <c r="T541" s="4"/>
      <c r="U541" s="4"/>
    </row>
    <row r="542" ht="18.0" customHeight="1">
      <c r="A542" s="35"/>
      <c r="B542" s="37" t="s">
        <v>793</v>
      </c>
      <c r="C542" s="38">
        <v>44886.0</v>
      </c>
      <c r="D542" s="37">
        <v>11.0</v>
      </c>
      <c r="E542" s="37">
        <v>346.0</v>
      </c>
      <c r="F542" s="37">
        <v>196.17</v>
      </c>
      <c r="G542" s="39">
        <v>1158.29</v>
      </c>
      <c r="H542" s="37" t="s">
        <v>794</v>
      </c>
      <c r="I542" s="52" t="s">
        <v>42</v>
      </c>
      <c r="J542" s="37" t="str">
        <f t="shared" si="4"/>
        <v>No</v>
      </c>
      <c r="K542" s="35"/>
      <c r="L542" s="35"/>
      <c r="M542" s="35"/>
      <c r="N542" s="4"/>
      <c r="O542" s="4"/>
      <c r="P542" s="50"/>
      <c r="Q542" s="50"/>
      <c r="R542" s="50"/>
      <c r="S542" s="51"/>
      <c r="T542" s="4"/>
      <c r="U542" s="4"/>
    </row>
    <row r="543" ht="18.0" customHeight="1">
      <c r="A543" s="35"/>
      <c r="B543" s="37" t="s">
        <v>795</v>
      </c>
      <c r="C543" s="38">
        <v>44775.0</v>
      </c>
      <c r="D543" s="37">
        <v>74.0</v>
      </c>
      <c r="E543" s="37">
        <v>614.0</v>
      </c>
      <c r="F543" s="37">
        <v>158.15</v>
      </c>
      <c r="G543" s="39">
        <v>1360.87</v>
      </c>
      <c r="H543" s="37" t="s">
        <v>796</v>
      </c>
      <c r="I543" s="52" t="s">
        <v>38</v>
      </c>
      <c r="J543" s="37" t="str">
        <f t="shared" si="4"/>
        <v>No</v>
      </c>
      <c r="K543" s="35"/>
      <c r="L543" s="35"/>
      <c r="M543" s="35"/>
      <c r="N543" s="4"/>
      <c r="O543" s="4"/>
      <c r="P543" s="50"/>
      <c r="Q543" s="50"/>
      <c r="R543" s="50"/>
      <c r="S543" s="51"/>
      <c r="T543" s="4"/>
      <c r="U543" s="4"/>
    </row>
    <row r="544" ht="18.0" customHeight="1">
      <c r="A544" s="35"/>
      <c r="B544" s="37" t="s">
        <v>797</v>
      </c>
      <c r="C544" s="38">
        <v>44631.0</v>
      </c>
      <c r="D544" s="37">
        <v>45.0</v>
      </c>
      <c r="E544" s="37">
        <v>975.0</v>
      </c>
      <c r="F544" s="37">
        <v>85.15</v>
      </c>
      <c r="G544" s="39">
        <v>9498.18</v>
      </c>
      <c r="H544" s="37" t="s">
        <v>798</v>
      </c>
      <c r="I544" s="52" t="s">
        <v>38</v>
      </c>
      <c r="J544" s="37" t="str">
        <f t="shared" si="4"/>
        <v>No</v>
      </c>
      <c r="K544" s="35"/>
      <c r="L544" s="35"/>
      <c r="M544" s="35"/>
      <c r="N544" s="4"/>
      <c r="O544" s="4"/>
      <c r="P544" s="50"/>
      <c r="Q544" s="50"/>
      <c r="R544" s="50"/>
      <c r="S544" s="51"/>
      <c r="T544" s="4"/>
      <c r="U544" s="4"/>
    </row>
    <row r="545" ht="18.0" customHeight="1">
      <c r="A545" s="35"/>
      <c r="B545" s="37" t="s">
        <v>799</v>
      </c>
      <c r="C545" s="38">
        <v>44838.0</v>
      </c>
      <c r="D545" s="37">
        <v>97.0</v>
      </c>
      <c r="E545" s="37">
        <v>159.0</v>
      </c>
      <c r="F545" s="37">
        <v>243.42</v>
      </c>
      <c r="G545" s="39">
        <v>729.67</v>
      </c>
      <c r="H545" s="37" t="s">
        <v>800</v>
      </c>
      <c r="I545" s="52" t="s">
        <v>50</v>
      </c>
      <c r="J545" s="37" t="str">
        <f t="shared" si="4"/>
        <v>No</v>
      </c>
      <c r="K545" s="35"/>
      <c r="L545" s="35"/>
      <c r="M545" s="35"/>
      <c r="N545" s="4"/>
      <c r="O545" s="4"/>
      <c r="P545" s="50"/>
      <c r="Q545" s="50"/>
      <c r="R545" s="50"/>
      <c r="S545" s="51"/>
      <c r="T545" s="4"/>
      <c r="U545" s="4"/>
    </row>
    <row r="546" ht="18.0" customHeight="1">
      <c r="A546" s="35"/>
      <c r="B546" s="37" t="s">
        <v>801</v>
      </c>
      <c r="C546" s="38">
        <v>44770.0</v>
      </c>
      <c r="D546" s="37">
        <v>27.0</v>
      </c>
      <c r="E546" s="37">
        <v>935.0</v>
      </c>
      <c r="F546" s="37">
        <v>20.32</v>
      </c>
      <c r="G546" s="39">
        <v>6551.48</v>
      </c>
      <c r="H546" s="37" t="s">
        <v>802</v>
      </c>
      <c r="I546" s="52" t="s">
        <v>38</v>
      </c>
      <c r="J546" s="37" t="str">
        <f t="shared" si="4"/>
        <v>No</v>
      </c>
      <c r="K546" s="35"/>
      <c r="L546" s="35"/>
      <c r="M546" s="35"/>
      <c r="N546" s="4"/>
      <c r="O546" s="4"/>
      <c r="P546" s="50"/>
      <c r="Q546" s="50"/>
      <c r="R546" s="50"/>
      <c r="S546" s="51"/>
      <c r="T546" s="4"/>
      <c r="U546" s="4"/>
    </row>
    <row r="547" ht="18.0" customHeight="1">
      <c r="A547" s="35"/>
      <c r="B547" s="37" t="s">
        <v>803</v>
      </c>
      <c r="C547" s="38">
        <v>44721.0</v>
      </c>
      <c r="D547" s="37">
        <v>89.0</v>
      </c>
      <c r="E547" s="37">
        <v>29.0</v>
      </c>
      <c r="F547" s="37">
        <v>51.58</v>
      </c>
      <c r="G547" s="39">
        <v>9088.46</v>
      </c>
      <c r="H547" s="37" t="s">
        <v>804</v>
      </c>
      <c r="I547" s="52" t="s">
        <v>42</v>
      </c>
      <c r="J547" s="37" t="str">
        <f t="shared" si="4"/>
        <v>No</v>
      </c>
      <c r="K547" s="35"/>
      <c r="L547" s="35"/>
      <c r="M547" s="35"/>
      <c r="N547" s="4"/>
      <c r="O547" s="4"/>
      <c r="P547" s="50"/>
      <c r="Q547" s="50"/>
      <c r="R547" s="50"/>
      <c r="S547" s="51"/>
      <c r="T547" s="4"/>
      <c r="U547" s="4"/>
    </row>
    <row r="548" ht="18.0" customHeight="1">
      <c r="A548" s="35"/>
      <c r="B548" s="37" t="s">
        <v>805</v>
      </c>
      <c r="C548" s="38">
        <v>44784.0</v>
      </c>
      <c r="D548" s="37">
        <v>1.0</v>
      </c>
      <c r="E548" s="37">
        <v>54.0</v>
      </c>
      <c r="F548" s="37">
        <v>88.45</v>
      </c>
      <c r="G548" s="39">
        <v>4049.47</v>
      </c>
      <c r="H548" s="37" t="s">
        <v>806</v>
      </c>
      <c r="I548" s="52" t="s">
        <v>50</v>
      </c>
      <c r="J548" s="37" t="str">
        <f t="shared" si="4"/>
        <v>No</v>
      </c>
      <c r="K548" s="35"/>
      <c r="L548" s="35"/>
      <c r="M548" s="35"/>
      <c r="N548" s="4"/>
      <c r="O548" s="4"/>
      <c r="P548" s="50"/>
      <c r="Q548" s="50"/>
      <c r="R548" s="50"/>
      <c r="S548" s="51"/>
      <c r="T548" s="4"/>
      <c r="U548" s="4"/>
    </row>
    <row r="549" ht="18.0" customHeight="1">
      <c r="A549" s="35"/>
      <c r="B549" s="37" t="s">
        <v>807</v>
      </c>
      <c r="C549" s="38">
        <v>44782.0</v>
      </c>
      <c r="D549" s="37">
        <v>45.0</v>
      </c>
      <c r="E549" s="37">
        <v>173.0</v>
      </c>
      <c r="F549" s="37">
        <v>158.66</v>
      </c>
      <c r="G549" s="39">
        <v>416.4</v>
      </c>
      <c r="H549" s="37" t="s">
        <v>87</v>
      </c>
      <c r="I549" s="52" t="s">
        <v>50</v>
      </c>
      <c r="J549" s="37" t="str">
        <f t="shared" si="4"/>
        <v>No</v>
      </c>
      <c r="K549" s="35"/>
      <c r="L549" s="35"/>
      <c r="M549" s="35"/>
      <c r="N549" s="4"/>
      <c r="O549" s="4"/>
      <c r="P549" s="50"/>
      <c r="Q549" s="50"/>
      <c r="R549" s="50"/>
      <c r="S549" s="51"/>
      <c r="T549" s="4"/>
      <c r="U549" s="4"/>
    </row>
    <row r="550" ht="18.0" customHeight="1">
      <c r="A550" s="35"/>
      <c r="B550" s="37" t="s">
        <v>808</v>
      </c>
      <c r="C550" s="38">
        <v>44563.0</v>
      </c>
      <c r="D550" s="37">
        <v>32.0</v>
      </c>
      <c r="E550" s="37">
        <v>81.0</v>
      </c>
      <c r="F550" s="37">
        <v>226.5</v>
      </c>
      <c r="G550" s="39">
        <v>5249.71</v>
      </c>
      <c r="H550" s="37" t="s">
        <v>37</v>
      </c>
      <c r="I550" s="52" t="s">
        <v>38</v>
      </c>
      <c r="J550" s="37" t="str">
        <f t="shared" si="4"/>
        <v>No</v>
      </c>
      <c r="K550" s="35"/>
      <c r="L550" s="35"/>
      <c r="M550" s="35"/>
      <c r="N550" s="4"/>
      <c r="O550" s="4"/>
      <c r="P550" s="50"/>
      <c r="Q550" s="50"/>
      <c r="R550" s="50"/>
      <c r="S550" s="51"/>
      <c r="T550" s="4"/>
      <c r="U550" s="4"/>
    </row>
    <row r="551" ht="18.0" customHeight="1">
      <c r="A551" s="35"/>
      <c r="B551" s="37" t="s">
        <v>21</v>
      </c>
      <c r="C551" s="38">
        <v>44876.0</v>
      </c>
      <c r="D551" s="37">
        <v>70.0</v>
      </c>
      <c r="E551" s="37">
        <v>439.0</v>
      </c>
      <c r="F551" s="37">
        <v>120.11</v>
      </c>
      <c r="G551" s="39">
        <v>9847.37</v>
      </c>
      <c r="H551" s="37" t="s">
        <v>41</v>
      </c>
      <c r="I551" s="52" t="s">
        <v>38</v>
      </c>
      <c r="J551" s="37" t="str">
        <f t="shared" si="4"/>
        <v>No</v>
      </c>
      <c r="K551" s="35"/>
      <c r="L551" s="35"/>
      <c r="M551" s="35"/>
      <c r="N551" s="4"/>
      <c r="O551" s="4"/>
      <c r="P551" s="50"/>
      <c r="Q551" s="50"/>
      <c r="R551" s="50"/>
      <c r="S551" s="51"/>
      <c r="T551" s="4"/>
      <c r="U551" s="4"/>
    </row>
    <row r="552" ht="18.0" customHeight="1">
      <c r="A552" s="35"/>
      <c r="B552" s="37" t="s">
        <v>809</v>
      </c>
      <c r="C552" s="38">
        <v>44798.0</v>
      </c>
      <c r="D552" s="37">
        <v>31.0</v>
      </c>
      <c r="E552" s="37">
        <v>868.0</v>
      </c>
      <c r="F552" s="37">
        <v>162.89</v>
      </c>
      <c r="G552" s="39">
        <v>3441.42</v>
      </c>
      <c r="H552" s="37" t="s">
        <v>45</v>
      </c>
      <c r="I552" s="52" t="s">
        <v>38</v>
      </c>
      <c r="J552" s="37" t="str">
        <f t="shared" si="4"/>
        <v>No</v>
      </c>
      <c r="K552" s="35"/>
      <c r="L552" s="35"/>
      <c r="M552" s="35"/>
      <c r="N552" s="4"/>
      <c r="O552" s="4"/>
      <c r="P552" s="50"/>
      <c r="Q552" s="50"/>
      <c r="R552" s="50"/>
      <c r="S552" s="51"/>
      <c r="T552" s="4"/>
      <c r="U552" s="4"/>
    </row>
    <row r="553" ht="18.0" customHeight="1">
      <c r="A553" s="35"/>
      <c r="B553" s="37" t="s">
        <v>810</v>
      </c>
      <c r="C553" s="38">
        <v>44854.0</v>
      </c>
      <c r="D553" s="37">
        <v>83.0</v>
      </c>
      <c r="E553" s="37">
        <v>110.0</v>
      </c>
      <c r="F553" s="37">
        <v>212.97</v>
      </c>
      <c r="G553" s="39">
        <v>6472.66</v>
      </c>
      <c r="H553" s="37" t="s">
        <v>49</v>
      </c>
      <c r="I553" s="52" t="s">
        <v>50</v>
      </c>
      <c r="J553" s="37" t="str">
        <f t="shared" si="4"/>
        <v>No</v>
      </c>
      <c r="K553" s="35"/>
      <c r="L553" s="35"/>
      <c r="M553" s="35"/>
      <c r="N553" s="4"/>
      <c r="O553" s="4"/>
      <c r="P553" s="50"/>
      <c r="Q553" s="50"/>
      <c r="R553" s="50"/>
      <c r="S553" s="51"/>
      <c r="T553" s="4"/>
      <c r="U553" s="4"/>
    </row>
    <row r="554" ht="18.0" customHeight="1">
      <c r="A554" s="35"/>
      <c r="B554" s="37" t="s">
        <v>811</v>
      </c>
      <c r="C554" s="38">
        <v>44800.0</v>
      </c>
      <c r="D554" s="37">
        <v>41.0</v>
      </c>
      <c r="E554" s="37">
        <v>777.0</v>
      </c>
      <c r="F554" s="37">
        <v>117.29</v>
      </c>
      <c r="G554" s="39">
        <v>5411.93</v>
      </c>
      <c r="H554" s="37" t="s">
        <v>53</v>
      </c>
      <c r="I554" s="52" t="s">
        <v>42</v>
      </c>
      <c r="J554" s="37" t="str">
        <f t="shared" si="4"/>
        <v>No</v>
      </c>
      <c r="K554" s="35"/>
      <c r="L554" s="35"/>
      <c r="M554" s="35"/>
      <c r="N554" s="4"/>
      <c r="O554" s="4"/>
      <c r="P554" s="50"/>
      <c r="Q554" s="50"/>
      <c r="R554" s="50"/>
      <c r="S554" s="51"/>
      <c r="T554" s="4"/>
      <c r="U554" s="4"/>
    </row>
    <row r="555" ht="18.0" customHeight="1">
      <c r="A555" s="35"/>
      <c r="B555" s="37" t="s">
        <v>812</v>
      </c>
      <c r="C555" s="38">
        <v>44616.0</v>
      </c>
      <c r="D555" s="37">
        <v>55.0</v>
      </c>
      <c r="E555" s="37">
        <v>656.0</v>
      </c>
      <c r="F555" s="37">
        <v>125.59</v>
      </c>
      <c r="G555" s="39">
        <v>9621.55</v>
      </c>
      <c r="H555" s="37" t="s">
        <v>56</v>
      </c>
      <c r="I555" s="52" t="s">
        <v>42</v>
      </c>
      <c r="J555" s="37" t="str">
        <f t="shared" si="4"/>
        <v>No</v>
      </c>
      <c r="K555" s="35"/>
      <c r="L555" s="35"/>
      <c r="M555" s="35"/>
      <c r="N555" s="4"/>
      <c r="O555" s="4"/>
      <c r="P555" s="50"/>
      <c r="Q555" s="50"/>
      <c r="R555" s="50"/>
      <c r="S555" s="51"/>
      <c r="T555" s="4"/>
      <c r="U555" s="4"/>
    </row>
    <row r="556" ht="18.0" customHeight="1">
      <c r="A556" s="35"/>
      <c r="B556" s="37" t="s">
        <v>813</v>
      </c>
      <c r="C556" s="38">
        <v>44603.0</v>
      </c>
      <c r="D556" s="37">
        <v>51.0</v>
      </c>
      <c r="E556" s="37">
        <v>660.0</v>
      </c>
      <c r="F556" s="37">
        <v>121.78</v>
      </c>
      <c r="G556" s="39">
        <v>8608.02</v>
      </c>
      <c r="H556" s="37" t="s">
        <v>59</v>
      </c>
      <c r="I556" s="52" t="s">
        <v>38</v>
      </c>
      <c r="J556" s="37" t="str">
        <f t="shared" si="4"/>
        <v>No</v>
      </c>
      <c r="K556" s="35"/>
      <c r="L556" s="35"/>
      <c r="M556" s="35"/>
      <c r="N556" s="4"/>
      <c r="O556" s="4"/>
      <c r="P556" s="50"/>
      <c r="Q556" s="50"/>
      <c r="R556" s="50"/>
      <c r="S556" s="51"/>
      <c r="T556" s="4"/>
      <c r="U556" s="4"/>
    </row>
    <row r="557" ht="18.0" customHeight="1">
      <c r="A557" s="35"/>
      <c r="B557" s="37" t="s">
        <v>814</v>
      </c>
      <c r="C557" s="38">
        <v>44857.0</v>
      </c>
      <c r="D557" s="37">
        <v>15.0</v>
      </c>
      <c r="E557" s="37">
        <v>250.0</v>
      </c>
      <c r="F557" s="37">
        <v>65.75</v>
      </c>
      <c r="G557" s="39">
        <v>6619.57</v>
      </c>
      <c r="H557" s="37" t="s">
        <v>61</v>
      </c>
      <c r="I557" s="52" t="s">
        <v>42</v>
      </c>
      <c r="J557" s="37" t="str">
        <f t="shared" si="4"/>
        <v>No</v>
      </c>
      <c r="K557" s="35"/>
      <c r="L557" s="35"/>
      <c r="M557" s="35"/>
      <c r="N557" s="4"/>
      <c r="O557" s="4"/>
      <c r="P557" s="50"/>
      <c r="Q557" s="50"/>
      <c r="R557" s="50"/>
      <c r="S557" s="51"/>
      <c r="T557" s="4"/>
      <c r="U557" s="4"/>
    </row>
    <row r="558" ht="18.0" customHeight="1">
      <c r="A558" s="35"/>
      <c r="B558" s="37" t="s">
        <v>815</v>
      </c>
      <c r="C558" s="38">
        <v>44696.0</v>
      </c>
      <c r="D558" s="37">
        <v>30.0</v>
      </c>
      <c r="E558" s="37">
        <v>957.0</v>
      </c>
      <c r="F558" s="37">
        <v>168.8</v>
      </c>
      <c r="G558" s="39">
        <v>9267.92</v>
      </c>
      <c r="H558" s="37" t="s">
        <v>63</v>
      </c>
      <c r="I558" s="52" t="s">
        <v>42</v>
      </c>
      <c r="J558" s="37" t="str">
        <f t="shared" si="4"/>
        <v>No</v>
      </c>
      <c r="K558" s="35"/>
      <c r="L558" s="35"/>
      <c r="M558" s="35"/>
      <c r="N558" s="4"/>
      <c r="O558" s="4"/>
      <c r="P558" s="50"/>
      <c r="Q558" s="50"/>
      <c r="R558" s="50"/>
      <c r="S558" s="51"/>
      <c r="T558" s="4"/>
      <c r="U558" s="4"/>
    </row>
    <row r="559" ht="18.0" customHeight="1">
      <c r="A559" s="35"/>
      <c r="B559" s="37" t="s">
        <v>816</v>
      </c>
      <c r="C559" s="38">
        <v>44851.0</v>
      </c>
      <c r="D559" s="37">
        <v>7.0</v>
      </c>
      <c r="E559" s="37">
        <v>595.0</v>
      </c>
      <c r="F559" s="37">
        <v>81.32</v>
      </c>
      <c r="G559" s="39">
        <v>3712.62</v>
      </c>
      <c r="H559" s="37" t="s">
        <v>66</v>
      </c>
      <c r="I559" s="52" t="s">
        <v>50</v>
      </c>
      <c r="J559" s="37" t="str">
        <f t="shared" si="4"/>
        <v>Yes</v>
      </c>
      <c r="K559" s="35"/>
      <c r="L559" s="35"/>
      <c r="M559" s="35"/>
      <c r="N559" s="4"/>
      <c r="O559" s="4"/>
      <c r="P559" s="50"/>
      <c r="Q559" s="50"/>
      <c r="R559" s="50"/>
      <c r="S559" s="51"/>
      <c r="T559" s="4"/>
      <c r="U559" s="4"/>
    </row>
    <row r="560" ht="18.0" customHeight="1">
      <c r="A560" s="35"/>
      <c r="B560" s="37" t="s">
        <v>817</v>
      </c>
      <c r="C560" s="38">
        <v>44567.0</v>
      </c>
      <c r="D560" s="37">
        <v>55.0</v>
      </c>
      <c r="E560" s="37">
        <v>486.0</v>
      </c>
      <c r="F560" s="37">
        <v>0.69</v>
      </c>
      <c r="G560" s="39">
        <v>9014.27</v>
      </c>
      <c r="H560" s="37" t="s">
        <v>68</v>
      </c>
      <c r="I560" s="52" t="s">
        <v>50</v>
      </c>
      <c r="J560" s="37" t="str">
        <f t="shared" si="4"/>
        <v>No</v>
      </c>
      <c r="K560" s="35"/>
      <c r="L560" s="35"/>
      <c r="M560" s="35"/>
      <c r="N560" s="4"/>
      <c r="O560" s="4"/>
      <c r="P560" s="50"/>
      <c r="Q560" s="50"/>
      <c r="R560" s="50"/>
      <c r="S560" s="51"/>
      <c r="T560" s="4"/>
      <c r="U560" s="4"/>
    </row>
    <row r="561" ht="18.0" customHeight="1">
      <c r="A561" s="35"/>
      <c r="B561" s="37" t="s">
        <v>818</v>
      </c>
      <c r="C561" s="38">
        <v>44705.0</v>
      </c>
      <c r="D561" s="37">
        <v>88.0</v>
      </c>
      <c r="E561" s="37">
        <v>773.0</v>
      </c>
      <c r="F561" s="37">
        <v>101.14</v>
      </c>
      <c r="G561" s="39">
        <v>5606.09</v>
      </c>
      <c r="H561" s="37" t="s">
        <v>71</v>
      </c>
      <c r="I561" s="52" t="s">
        <v>50</v>
      </c>
      <c r="J561" s="37" t="str">
        <f t="shared" si="4"/>
        <v>No</v>
      </c>
      <c r="K561" s="35"/>
      <c r="L561" s="35"/>
      <c r="M561" s="35"/>
      <c r="N561" s="4"/>
      <c r="O561" s="4"/>
      <c r="P561" s="50"/>
      <c r="Q561" s="50"/>
      <c r="R561" s="50"/>
      <c r="S561" s="51"/>
      <c r="T561" s="4"/>
      <c r="U561" s="4"/>
    </row>
    <row r="562" ht="18.0" customHeight="1">
      <c r="A562" s="35"/>
      <c r="B562" s="37" t="s">
        <v>819</v>
      </c>
      <c r="C562" s="38">
        <v>44759.0</v>
      </c>
      <c r="D562" s="37">
        <v>18.0</v>
      </c>
      <c r="E562" s="37">
        <v>13.0</v>
      </c>
      <c r="F562" s="37">
        <v>230.34</v>
      </c>
      <c r="G562" s="39">
        <v>7652.92</v>
      </c>
      <c r="H562" s="37" t="s">
        <v>820</v>
      </c>
      <c r="I562" s="52" t="s">
        <v>42</v>
      </c>
      <c r="J562" s="37" t="str">
        <f t="shared" si="4"/>
        <v>No</v>
      </c>
      <c r="K562" s="35"/>
      <c r="L562" s="35"/>
      <c r="M562" s="35"/>
      <c r="N562" s="4"/>
      <c r="O562" s="4"/>
      <c r="P562" s="50"/>
      <c r="Q562" s="50"/>
      <c r="R562" s="50"/>
      <c r="S562" s="51"/>
      <c r="T562" s="4"/>
      <c r="U562" s="4"/>
    </row>
    <row r="563" ht="18.0" customHeight="1">
      <c r="A563" s="35"/>
      <c r="B563" s="37" t="s">
        <v>821</v>
      </c>
      <c r="C563" s="38">
        <v>44699.0</v>
      </c>
      <c r="D563" s="37">
        <v>8.0</v>
      </c>
      <c r="E563" s="37">
        <v>578.0</v>
      </c>
      <c r="F563" s="37">
        <v>130.2</v>
      </c>
      <c r="G563" s="39">
        <v>5630.19</v>
      </c>
      <c r="H563" s="37" t="s">
        <v>822</v>
      </c>
      <c r="I563" s="52" t="s">
        <v>42</v>
      </c>
      <c r="J563" s="37" t="str">
        <f t="shared" si="4"/>
        <v>No</v>
      </c>
      <c r="K563" s="35"/>
      <c r="L563" s="35"/>
      <c r="M563" s="35"/>
      <c r="N563" s="4"/>
      <c r="O563" s="4"/>
      <c r="P563" s="50"/>
      <c r="Q563" s="50"/>
      <c r="R563" s="50"/>
      <c r="S563" s="51"/>
      <c r="T563" s="4"/>
      <c r="U563" s="4"/>
    </row>
    <row r="564" ht="18.0" customHeight="1">
      <c r="A564" s="35"/>
      <c r="B564" s="37" t="s">
        <v>823</v>
      </c>
      <c r="C564" s="38">
        <v>44752.0</v>
      </c>
      <c r="D564" s="37">
        <v>63.0</v>
      </c>
      <c r="E564" s="37">
        <v>833.0</v>
      </c>
      <c r="F564" s="37">
        <v>69.8</v>
      </c>
      <c r="G564" s="39">
        <v>3964.41</v>
      </c>
      <c r="H564" s="37" t="s">
        <v>824</v>
      </c>
      <c r="I564" s="52" t="s">
        <v>42</v>
      </c>
      <c r="J564" s="37" t="str">
        <f t="shared" si="4"/>
        <v>No</v>
      </c>
      <c r="K564" s="35"/>
      <c r="L564" s="35"/>
      <c r="M564" s="35"/>
      <c r="N564" s="4"/>
      <c r="O564" s="4"/>
      <c r="P564" s="50"/>
      <c r="Q564" s="50"/>
      <c r="R564" s="50"/>
      <c r="S564" s="51"/>
      <c r="T564" s="4"/>
      <c r="U564" s="4"/>
    </row>
    <row r="565" ht="18.0" customHeight="1">
      <c r="A565" s="35"/>
      <c r="B565" s="37" t="s">
        <v>825</v>
      </c>
      <c r="C565" s="38">
        <v>44764.0</v>
      </c>
      <c r="D565" s="37">
        <v>30.0</v>
      </c>
      <c r="E565" s="37">
        <v>521.0</v>
      </c>
      <c r="F565" s="37">
        <v>146.23</v>
      </c>
      <c r="G565" s="39">
        <v>7334.56</v>
      </c>
      <c r="H565" s="37" t="s">
        <v>826</v>
      </c>
      <c r="I565" s="52" t="s">
        <v>38</v>
      </c>
      <c r="J565" s="37" t="str">
        <f t="shared" si="4"/>
        <v>No</v>
      </c>
      <c r="K565" s="35"/>
      <c r="L565" s="35"/>
      <c r="M565" s="35"/>
      <c r="N565" s="4"/>
      <c r="O565" s="4"/>
      <c r="P565" s="50"/>
      <c r="Q565" s="50"/>
      <c r="R565" s="50"/>
      <c r="S565" s="51"/>
      <c r="T565" s="4"/>
      <c r="U565" s="4"/>
    </row>
    <row r="566" ht="18.0" customHeight="1">
      <c r="A566" s="35"/>
      <c r="B566" s="37" t="s">
        <v>827</v>
      </c>
      <c r="C566" s="38">
        <v>44700.0</v>
      </c>
      <c r="D566" s="37">
        <v>8.0</v>
      </c>
      <c r="E566" s="37">
        <v>762.0</v>
      </c>
      <c r="F566" s="37">
        <v>156.97</v>
      </c>
      <c r="G566" s="39">
        <v>1191.29</v>
      </c>
      <c r="H566" s="37" t="s">
        <v>828</v>
      </c>
      <c r="I566" s="52" t="s">
        <v>50</v>
      </c>
      <c r="J566" s="37" t="str">
        <f t="shared" si="4"/>
        <v>No</v>
      </c>
      <c r="K566" s="35"/>
      <c r="L566" s="35"/>
      <c r="M566" s="35"/>
      <c r="N566" s="4"/>
      <c r="O566" s="4"/>
      <c r="P566" s="50"/>
      <c r="Q566" s="50"/>
      <c r="R566" s="50"/>
      <c r="S566" s="51"/>
      <c r="T566" s="4"/>
      <c r="U566" s="4"/>
    </row>
    <row r="567" ht="18.0" customHeight="1">
      <c r="A567" s="35"/>
      <c r="B567" s="37" t="s">
        <v>829</v>
      </c>
      <c r="C567" s="38">
        <v>44726.0</v>
      </c>
      <c r="D567" s="37">
        <v>9.0</v>
      </c>
      <c r="E567" s="37">
        <v>12.0</v>
      </c>
      <c r="F567" s="37">
        <v>117.04</v>
      </c>
      <c r="G567" s="39">
        <v>2704.72</v>
      </c>
      <c r="H567" s="37" t="s">
        <v>830</v>
      </c>
      <c r="I567" s="52" t="s">
        <v>38</v>
      </c>
      <c r="J567" s="37" t="str">
        <f t="shared" si="4"/>
        <v>No</v>
      </c>
      <c r="K567" s="35"/>
      <c r="L567" s="35"/>
      <c r="M567" s="35"/>
      <c r="N567" s="4"/>
      <c r="O567" s="4"/>
      <c r="P567" s="50"/>
      <c r="Q567" s="50"/>
      <c r="R567" s="50"/>
      <c r="S567" s="51"/>
      <c r="T567" s="4"/>
      <c r="U567" s="4"/>
    </row>
    <row r="568" ht="18.0" customHeight="1">
      <c r="A568" s="35"/>
      <c r="B568" s="37" t="s">
        <v>831</v>
      </c>
      <c r="C568" s="38">
        <v>44636.0</v>
      </c>
      <c r="D568" s="37">
        <v>88.0</v>
      </c>
      <c r="E568" s="37">
        <v>693.0</v>
      </c>
      <c r="F568" s="37">
        <v>27.84</v>
      </c>
      <c r="G568" s="39">
        <v>2910.9</v>
      </c>
      <c r="H568" s="37" t="s">
        <v>832</v>
      </c>
      <c r="I568" s="52" t="s">
        <v>38</v>
      </c>
      <c r="J568" s="37" t="str">
        <f t="shared" si="4"/>
        <v>No</v>
      </c>
      <c r="K568" s="35"/>
      <c r="L568" s="35"/>
      <c r="M568" s="35"/>
      <c r="N568" s="4"/>
      <c r="O568" s="4"/>
      <c r="P568" s="50"/>
      <c r="Q568" s="50"/>
      <c r="R568" s="50"/>
      <c r="S568" s="51"/>
      <c r="T568" s="4"/>
      <c r="U568" s="4"/>
    </row>
    <row r="569" ht="18.0" customHeight="1">
      <c r="A569" s="35"/>
      <c r="B569" s="37" t="s">
        <v>833</v>
      </c>
      <c r="C569" s="38">
        <v>44834.0</v>
      </c>
      <c r="D569" s="37">
        <v>69.0</v>
      </c>
      <c r="E569" s="37">
        <v>820.0</v>
      </c>
      <c r="F569" s="37">
        <v>54.87</v>
      </c>
      <c r="G569" s="39">
        <v>7115.15</v>
      </c>
      <c r="H569" s="37" t="s">
        <v>87</v>
      </c>
      <c r="I569" s="52" t="s">
        <v>50</v>
      </c>
      <c r="J569" s="37" t="str">
        <f t="shared" si="4"/>
        <v>No</v>
      </c>
      <c r="K569" s="35"/>
      <c r="L569" s="35"/>
      <c r="M569" s="35"/>
      <c r="N569" s="4"/>
      <c r="O569" s="4"/>
      <c r="P569" s="50"/>
      <c r="Q569" s="50"/>
      <c r="R569" s="50"/>
      <c r="S569" s="51"/>
      <c r="T569" s="4"/>
      <c r="U569" s="4"/>
    </row>
    <row r="570" ht="18.0" customHeight="1">
      <c r="A570" s="35"/>
      <c r="B570" s="37" t="s">
        <v>834</v>
      </c>
      <c r="C570" s="38">
        <v>44791.0</v>
      </c>
      <c r="D570" s="37">
        <v>64.0</v>
      </c>
      <c r="E570" s="37">
        <v>228.0</v>
      </c>
      <c r="F570" s="37">
        <v>237.77</v>
      </c>
      <c r="G570" s="39">
        <v>7187.77</v>
      </c>
      <c r="H570" s="37" t="s">
        <v>37</v>
      </c>
      <c r="I570" s="52" t="s">
        <v>42</v>
      </c>
      <c r="J570" s="37" t="str">
        <f t="shared" si="4"/>
        <v>No</v>
      </c>
      <c r="K570" s="35"/>
      <c r="L570" s="35"/>
      <c r="M570" s="35"/>
      <c r="N570" s="4"/>
      <c r="O570" s="4"/>
      <c r="P570" s="50"/>
      <c r="Q570" s="50"/>
      <c r="R570" s="50"/>
      <c r="S570" s="51"/>
      <c r="T570" s="4"/>
      <c r="U570" s="4"/>
    </row>
    <row r="571" ht="18.0" customHeight="1">
      <c r="A571" s="35"/>
      <c r="B571" s="37" t="s">
        <v>835</v>
      </c>
      <c r="C571" s="38">
        <v>44575.0</v>
      </c>
      <c r="D571" s="37">
        <v>41.0</v>
      </c>
      <c r="E571" s="37">
        <v>810.0</v>
      </c>
      <c r="F571" s="37">
        <v>8.24</v>
      </c>
      <c r="G571" s="39">
        <v>9962.62</v>
      </c>
      <c r="H571" s="37" t="s">
        <v>41</v>
      </c>
      <c r="I571" s="52" t="s">
        <v>50</v>
      </c>
      <c r="J571" s="37" t="str">
        <f t="shared" si="4"/>
        <v>No</v>
      </c>
      <c r="K571" s="35"/>
      <c r="L571" s="35"/>
      <c r="M571" s="35"/>
      <c r="N571" s="4"/>
      <c r="O571" s="4"/>
      <c r="P571" s="50"/>
      <c r="Q571" s="50"/>
      <c r="R571" s="50"/>
      <c r="S571" s="51"/>
      <c r="T571" s="4"/>
      <c r="U571" s="4"/>
    </row>
    <row r="572" ht="18.0" customHeight="1">
      <c r="A572" s="35"/>
      <c r="B572" s="37" t="s">
        <v>836</v>
      </c>
      <c r="C572" s="38">
        <v>44670.0</v>
      </c>
      <c r="D572" s="37">
        <v>79.0</v>
      </c>
      <c r="E572" s="37">
        <v>353.0</v>
      </c>
      <c r="F572" s="37">
        <v>13.19</v>
      </c>
      <c r="G572" s="39">
        <v>5356.12</v>
      </c>
      <c r="H572" s="37" t="s">
        <v>45</v>
      </c>
      <c r="I572" s="52" t="s">
        <v>38</v>
      </c>
      <c r="J572" s="37" t="str">
        <f t="shared" si="4"/>
        <v>No</v>
      </c>
      <c r="K572" s="35"/>
      <c r="L572" s="35"/>
      <c r="M572" s="35"/>
      <c r="N572" s="4"/>
      <c r="O572" s="4"/>
      <c r="P572" s="50"/>
      <c r="Q572" s="50"/>
      <c r="R572" s="50"/>
      <c r="S572" s="51"/>
      <c r="T572" s="4"/>
      <c r="U572" s="4"/>
    </row>
    <row r="573" ht="18.0" customHeight="1">
      <c r="A573" s="35"/>
      <c r="B573" s="37" t="s">
        <v>837</v>
      </c>
      <c r="C573" s="38">
        <v>44727.0</v>
      </c>
      <c r="D573" s="37">
        <v>81.0</v>
      </c>
      <c r="E573" s="37">
        <v>602.0</v>
      </c>
      <c r="F573" s="37">
        <v>118.68</v>
      </c>
      <c r="G573" s="39">
        <v>5175.94</v>
      </c>
      <c r="H573" s="37" t="s">
        <v>49</v>
      </c>
      <c r="I573" s="52" t="s">
        <v>50</v>
      </c>
      <c r="J573" s="37" t="str">
        <f t="shared" si="4"/>
        <v>No</v>
      </c>
      <c r="K573" s="35"/>
      <c r="L573" s="35"/>
      <c r="M573" s="35"/>
      <c r="N573" s="4"/>
      <c r="O573" s="4"/>
      <c r="P573" s="50"/>
      <c r="Q573" s="50"/>
      <c r="R573" s="50"/>
      <c r="S573" s="51"/>
      <c r="T573" s="4"/>
      <c r="U573" s="4"/>
    </row>
    <row r="574" ht="18.0" customHeight="1">
      <c r="A574" s="35"/>
      <c r="B574" s="37" t="s">
        <v>838</v>
      </c>
      <c r="C574" s="38">
        <v>44606.0</v>
      </c>
      <c r="D574" s="37">
        <v>23.0</v>
      </c>
      <c r="E574" s="37">
        <v>939.0</v>
      </c>
      <c r="F574" s="37">
        <v>10.81</v>
      </c>
      <c r="G574" s="39">
        <v>2006.35</v>
      </c>
      <c r="H574" s="37" t="s">
        <v>53</v>
      </c>
      <c r="I574" s="52" t="s">
        <v>50</v>
      </c>
      <c r="J574" s="37" t="str">
        <f t="shared" si="4"/>
        <v>No</v>
      </c>
      <c r="K574" s="35"/>
      <c r="L574" s="35"/>
      <c r="M574" s="35"/>
      <c r="N574" s="4"/>
      <c r="O574" s="4"/>
      <c r="P574" s="50"/>
      <c r="Q574" s="50"/>
      <c r="R574" s="50"/>
      <c r="S574" s="51"/>
      <c r="T574" s="4"/>
      <c r="U574" s="4"/>
    </row>
    <row r="575" ht="18.0" customHeight="1">
      <c r="A575" s="35"/>
      <c r="B575" s="37" t="s">
        <v>839</v>
      </c>
      <c r="C575" s="38">
        <v>44739.0</v>
      </c>
      <c r="D575" s="37">
        <v>18.0</v>
      </c>
      <c r="E575" s="37">
        <v>710.0</v>
      </c>
      <c r="F575" s="37">
        <v>137.71</v>
      </c>
      <c r="G575" s="39">
        <v>7438.53</v>
      </c>
      <c r="H575" s="37" t="s">
        <v>56</v>
      </c>
      <c r="I575" s="52" t="s">
        <v>42</v>
      </c>
      <c r="J575" s="37" t="str">
        <f t="shared" si="4"/>
        <v>No</v>
      </c>
      <c r="K575" s="35"/>
      <c r="L575" s="35"/>
      <c r="M575" s="35"/>
      <c r="N575" s="4"/>
      <c r="O575" s="4"/>
      <c r="P575" s="50"/>
      <c r="Q575" s="50"/>
      <c r="R575" s="50"/>
      <c r="S575" s="51"/>
      <c r="T575" s="4"/>
      <c r="U575" s="4"/>
    </row>
    <row r="576" ht="18.0" customHeight="1">
      <c r="A576" s="35"/>
      <c r="B576" s="37" t="s">
        <v>840</v>
      </c>
      <c r="C576" s="38">
        <v>44858.0</v>
      </c>
      <c r="D576" s="37">
        <v>79.0</v>
      </c>
      <c r="E576" s="37">
        <v>255.0</v>
      </c>
      <c r="F576" s="37">
        <v>206.42</v>
      </c>
      <c r="G576" s="39">
        <v>6209.78</v>
      </c>
      <c r="H576" s="37" t="s">
        <v>59</v>
      </c>
      <c r="I576" s="52" t="s">
        <v>50</v>
      </c>
      <c r="J576" s="37" t="str">
        <f t="shared" si="4"/>
        <v>No</v>
      </c>
      <c r="K576" s="35"/>
      <c r="L576" s="35"/>
      <c r="M576" s="35"/>
      <c r="N576" s="4"/>
      <c r="O576" s="4"/>
      <c r="P576" s="50"/>
      <c r="Q576" s="50"/>
      <c r="R576" s="50"/>
      <c r="S576" s="51"/>
      <c r="T576" s="4"/>
      <c r="U576" s="4"/>
    </row>
    <row r="577" ht="18.0" customHeight="1">
      <c r="A577" s="35"/>
      <c r="B577" s="37" t="s">
        <v>841</v>
      </c>
      <c r="C577" s="38">
        <v>44686.0</v>
      </c>
      <c r="D577" s="37">
        <v>32.0</v>
      </c>
      <c r="E577" s="37">
        <v>918.0</v>
      </c>
      <c r="F577" s="37">
        <v>236.63</v>
      </c>
      <c r="G577" s="39">
        <v>638.18</v>
      </c>
      <c r="H577" s="37" t="s">
        <v>61</v>
      </c>
      <c r="I577" s="52" t="s">
        <v>50</v>
      </c>
      <c r="J577" s="37" t="str">
        <f t="shared" si="4"/>
        <v>No</v>
      </c>
      <c r="K577" s="35"/>
      <c r="L577" s="35"/>
      <c r="M577" s="35"/>
      <c r="N577" s="4"/>
      <c r="O577" s="4"/>
      <c r="P577" s="50"/>
      <c r="Q577" s="50"/>
      <c r="R577" s="50"/>
      <c r="S577" s="51"/>
      <c r="T577" s="4"/>
      <c r="U577" s="4"/>
    </row>
    <row r="578" ht="18.0" customHeight="1">
      <c r="A578" s="35"/>
      <c r="B578" s="37" t="s">
        <v>842</v>
      </c>
      <c r="C578" s="38">
        <v>44846.0</v>
      </c>
      <c r="D578" s="37">
        <v>46.0</v>
      </c>
      <c r="E578" s="37">
        <v>916.0</v>
      </c>
      <c r="F578" s="37">
        <v>10.22</v>
      </c>
      <c r="G578" s="39">
        <v>4111.5</v>
      </c>
      <c r="H578" s="37" t="s">
        <v>63</v>
      </c>
      <c r="I578" s="52" t="s">
        <v>38</v>
      </c>
      <c r="J578" s="37" t="str">
        <f t="shared" si="4"/>
        <v>No</v>
      </c>
      <c r="K578" s="35"/>
      <c r="L578" s="35"/>
      <c r="M578" s="35"/>
      <c r="N578" s="4"/>
      <c r="O578" s="4"/>
      <c r="P578" s="50"/>
      <c r="Q578" s="50"/>
      <c r="R578" s="50"/>
      <c r="S578" s="51"/>
      <c r="T578" s="4"/>
      <c r="U578" s="4"/>
    </row>
    <row r="579" ht="18.0" customHeight="1">
      <c r="A579" s="35"/>
      <c r="B579" s="37" t="s">
        <v>843</v>
      </c>
      <c r="C579" s="38">
        <v>44568.0</v>
      </c>
      <c r="D579" s="37">
        <v>66.0</v>
      </c>
      <c r="E579" s="37">
        <v>169.0</v>
      </c>
      <c r="F579" s="37">
        <v>36.38</v>
      </c>
      <c r="G579" s="39">
        <v>4056.46</v>
      </c>
      <c r="H579" s="37" t="s">
        <v>66</v>
      </c>
      <c r="I579" s="52" t="s">
        <v>42</v>
      </c>
      <c r="J579" s="37" t="str">
        <f t="shared" si="4"/>
        <v>No</v>
      </c>
      <c r="K579" s="35"/>
      <c r="L579" s="35"/>
      <c r="M579" s="35"/>
      <c r="N579" s="4"/>
      <c r="O579" s="4"/>
      <c r="P579" s="50"/>
      <c r="Q579" s="50"/>
      <c r="R579" s="50"/>
      <c r="S579" s="51"/>
      <c r="T579" s="4"/>
      <c r="U579" s="4"/>
    </row>
    <row r="580" ht="18.0" customHeight="1">
      <c r="A580" s="35"/>
      <c r="B580" s="37" t="s">
        <v>844</v>
      </c>
      <c r="C580" s="38">
        <v>44895.0</v>
      </c>
      <c r="D580" s="37">
        <v>12.0</v>
      </c>
      <c r="E580" s="37">
        <v>347.0</v>
      </c>
      <c r="F580" s="37">
        <v>57.38</v>
      </c>
      <c r="G580" s="39">
        <v>8262.03</v>
      </c>
      <c r="H580" s="37" t="s">
        <v>68</v>
      </c>
      <c r="I580" s="52" t="s">
        <v>42</v>
      </c>
      <c r="J580" s="37" t="str">
        <f t="shared" si="4"/>
        <v>No</v>
      </c>
      <c r="K580" s="35"/>
      <c r="L580" s="35"/>
      <c r="M580" s="35"/>
      <c r="N580" s="4"/>
      <c r="O580" s="4"/>
      <c r="P580" s="50"/>
      <c r="Q580" s="50"/>
      <c r="R580" s="50"/>
      <c r="S580" s="51"/>
      <c r="T580" s="4"/>
      <c r="U580" s="4"/>
    </row>
    <row r="581" ht="18.0" customHeight="1">
      <c r="A581" s="35"/>
      <c r="B581" s="37" t="s">
        <v>845</v>
      </c>
      <c r="C581" s="38">
        <v>44752.0</v>
      </c>
      <c r="D581" s="37">
        <v>68.0</v>
      </c>
      <c r="E581" s="37">
        <v>288.0</v>
      </c>
      <c r="F581" s="37">
        <v>192.89</v>
      </c>
      <c r="G581" s="39">
        <v>9277.53</v>
      </c>
      <c r="H581" s="37" t="s">
        <v>71</v>
      </c>
      <c r="I581" s="52" t="s">
        <v>50</v>
      </c>
      <c r="J581" s="37" t="str">
        <f t="shared" si="4"/>
        <v>No</v>
      </c>
      <c r="K581" s="35"/>
      <c r="L581" s="35"/>
      <c r="M581" s="35"/>
      <c r="N581" s="4"/>
      <c r="O581" s="4"/>
      <c r="P581" s="50"/>
      <c r="Q581" s="50"/>
      <c r="R581" s="50"/>
      <c r="S581" s="51"/>
      <c r="T581" s="4"/>
      <c r="U581" s="4"/>
    </row>
    <row r="582" ht="18.0" customHeight="1">
      <c r="A582" s="35"/>
      <c r="B582" s="37" t="s">
        <v>846</v>
      </c>
      <c r="C582" s="38">
        <v>44722.0</v>
      </c>
      <c r="D582" s="37">
        <v>51.0</v>
      </c>
      <c r="E582" s="37">
        <v>6.0</v>
      </c>
      <c r="F582" s="37">
        <v>219.15</v>
      </c>
      <c r="G582" s="39">
        <v>8425.06</v>
      </c>
      <c r="H582" s="37" t="s">
        <v>56</v>
      </c>
      <c r="I582" s="52" t="s">
        <v>38</v>
      </c>
      <c r="J582" s="37" t="str">
        <f t="shared" si="4"/>
        <v>No</v>
      </c>
      <c r="K582" s="35"/>
      <c r="L582" s="35"/>
      <c r="M582" s="35"/>
      <c r="N582" s="4"/>
      <c r="O582" s="4"/>
      <c r="P582" s="50"/>
      <c r="Q582" s="50"/>
      <c r="R582" s="50"/>
      <c r="S582" s="51"/>
      <c r="T582" s="4"/>
      <c r="U582" s="4"/>
    </row>
    <row r="583" ht="18.0" customHeight="1">
      <c r="A583" s="35"/>
      <c r="B583" s="37" t="s">
        <v>847</v>
      </c>
      <c r="C583" s="38">
        <v>44795.0</v>
      </c>
      <c r="D583" s="37">
        <v>44.0</v>
      </c>
      <c r="E583" s="37">
        <v>667.0</v>
      </c>
      <c r="F583" s="37">
        <v>222.16</v>
      </c>
      <c r="G583" s="39">
        <v>5192.97</v>
      </c>
      <c r="H583" s="37" t="s">
        <v>59</v>
      </c>
      <c r="I583" s="52" t="s">
        <v>38</v>
      </c>
      <c r="J583" s="37" t="str">
        <f t="shared" si="4"/>
        <v>No</v>
      </c>
      <c r="K583" s="35"/>
      <c r="L583" s="35"/>
      <c r="M583" s="35"/>
      <c r="N583" s="4"/>
      <c r="O583" s="4"/>
      <c r="P583" s="50"/>
      <c r="Q583" s="50"/>
      <c r="R583" s="50"/>
      <c r="S583" s="51"/>
      <c r="T583" s="4"/>
      <c r="U583" s="4"/>
    </row>
    <row r="584" ht="18.0" customHeight="1">
      <c r="A584" s="35"/>
      <c r="B584" s="37" t="s">
        <v>36</v>
      </c>
      <c r="C584" s="38">
        <v>44909.0</v>
      </c>
      <c r="D584" s="37">
        <v>19.0</v>
      </c>
      <c r="E584" s="37">
        <v>649.0</v>
      </c>
      <c r="F584" s="37">
        <v>229.34</v>
      </c>
      <c r="G584" s="39">
        <v>4225.83</v>
      </c>
      <c r="H584" s="37" t="s">
        <v>61</v>
      </c>
      <c r="I584" s="52" t="s">
        <v>38</v>
      </c>
      <c r="J584" s="37" t="str">
        <f t="shared" si="4"/>
        <v>No</v>
      </c>
      <c r="K584" s="35"/>
      <c r="L584" s="35"/>
      <c r="M584" s="35"/>
      <c r="N584" s="4"/>
      <c r="O584" s="4"/>
      <c r="P584" s="50"/>
      <c r="Q584" s="50"/>
      <c r="R584" s="50"/>
      <c r="S584" s="51"/>
      <c r="T584" s="4"/>
      <c r="U584" s="4"/>
    </row>
    <row r="585" ht="18.0" customHeight="1">
      <c r="A585" s="35"/>
      <c r="B585" s="37" t="s">
        <v>848</v>
      </c>
      <c r="C585" s="38">
        <v>44657.0</v>
      </c>
      <c r="D585" s="37">
        <v>97.0</v>
      </c>
      <c r="E585" s="37">
        <v>787.0</v>
      </c>
      <c r="F585" s="37">
        <v>81.74</v>
      </c>
      <c r="G585" s="39">
        <v>9963.6</v>
      </c>
      <c r="H585" s="37" t="s">
        <v>63</v>
      </c>
      <c r="I585" s="52" t="s">
        <v>50</v>
      </c>
      <c r="J585" s="37" t="str">
        <f t="shared" si="4"/>
        <v>No</v>
      </c>
      <c r="K585" s="35"/>
      <c r="L585" s="35"/>
      <c r="M585" s="35"/>
      <c r="N585" s="4"/>
      <c r="O585" s="4"/>
      <c r="P585" s="50"/>
      <c r="Q585" s="50"/>
      <c r="R585" s="50"/>
      <c r="S585" s="51"/>
      <c r="T585" s="4"/>
      <c r="U585" s="4"/>
    </row>
    <row r="586" ht="18.0" customHeight="1">
      <c r="A586" s="35"/>
      <c r="B586" s="37" t="s">
        <v>849</v>
      </c>
      <c r="C586" s="38">
        <v>44806.0</v>
      </c>
      <c r="D586" s="37">
        <v>14.0</v>
      </c>
      <c r="E586" s="37">
        <v>843.0</v>
      </c>
      <c r="F586" s="37">
        <v>89.47</v>
      </c>
      <c r="G586" s="39">
        <v>4419.67</v>
      </c>
      <c r="H586" s="37" t="s">
        <v>66</v>
      </c>
      <c r="I586" s="52" t="s">
        <v>38</v>
      </c>
      <c r="J586" s="37" t="str">
        <f t="shared" si="4"/>
        <v>No</v>
      </c>
      <c r="K586" s="35"/>
      <c r="L586" s="35"/>
      <c r="M586" s="35"/>
      <c r="N586" s="4"/>
      <c r="O586" s="4"/>
      <c r="P586" s="50"/>
      <c r="Q586" s="50"/>
      <c r="R586" s="50"/>
      <c r="S586" s="51"/>
      <c r="T586" s="4"/>
      <c r="U586" s="4"/>
    </row>
    <row r="587" ht="18.0" customHeight="1">
      <c r="A587" s="35"/>
      <c r="B587" s="37" t="s">
        <v>850</v>
      </c>
      <c r="C587" s="38">
        <v>44844.0</v>
      </c>
      <c r="D587" s="37">
        <v>86.0</v>
      </c>
      <c r="E587" s="37">
        <v>10.0</v>
      </c>
      <c r="F587" s="37">
        <v>141.19</v>
      </c>
      <c r="G587" s="39">
        <v>2367.13</v>
      </c>
      <c r="H587" s="37" t="s">
        <v>68</v>
      </c>
      <c r="I587" s="52" t="s">
        <v>50</v>
      </c>
      <c r="J587" s="37" t="str">
        <f t="shared" si="4"/>
        <v>No</v>
      </c>
      <c r="K587" s="35"/>
      <c r="L587" s="35"/>
      <c r="M587" s="35"/>
      <c r="N587" s="4"/>
      <c r="O587" s="4"/>
      <c r="P587" s="50"/>
      <c r="Q587" s="50"/>
      <c r="R587" s="50"/>
      <c r="S587" s="51"/>
      <c r="T587" s="4"/>
      <c r="U587" s="4"/>
    </row>
    <row r="588" ht="18.0" customHeight="1">
      <c r="A588" s="35"/>
      <c r="B588" s="37" t="s">
        <v>17</v>
      </c>
      <c r="C588" s="38">
        <v>44755.0</v>
      </c>
      <c r="D588" s="37">
        <v>25.0</v>
      </c>
      <c r="E588" s="37">
        <v>30.0</v>
      </c>
      <c r="F588" s="37">
        <v>9.56</v>
      </c>
      <c r="G588" s="39">
        <v>1725.08</v>
      </c>
      <c r="H588" s="37" t="s">
        <v>71</v>
      </c>
      <c r="I588" s="52" t="s">
        <v>42</v>
      </c>
      <c r="J588" s="37" t="str">
        <f t="shared" si="4"/>
        <v>No</v>
      </c>
      <c r="K588" s="35"/>
      <c r="L588" s="35"/>
      <c r="M588" s="35"/>
      <c r="N588" s="4"/>
      <c r="O588" s="4"/>
      <c r="P588" s="50"/>
      <c r="Q588" s="50"/>
      <c r="R588" s="50"/>
      <c r="S588" s="51"/>
      <c r="T588" s="4"/>
      <c r="U588" s="4"/>
    </row>
    <row r="589" ht="18.0" customHeight="1">
      <c r="A589" s="35"/>
      <c r="B589" s="37" t="s">
        <v>851</v>
      </c>
      <c r="C589" s="38">
        <v>44596.0</v>
      </c>
      <c r="D589" s="37">
        <v>61.0</v>
      </c>
      <c r="E589" s="37">
        <v>700.0</v>
      </c>
      <c r="F589" s="37">
        <v>107.21</v>
      </c>
      <c r="G589" s="39">
        <v>8.77</v>
      </c>
      <c r="H589" s="37" t="s">
        <v>852</v>
      </c>
      <c r="I589" s="52" t="s">
        <v>38</v>
      </c>
      <c r="J589" s="37" t="str">
        <f t="shared" si="4"/>
        <v>No</v>
      </c>
      <c r="K589" s="35"/>
      <c r="L589" s="35"/>
      <c r="M589" s="35"/>
      <c r="N589" s="4"/>
      <c r="O589" s="4"/>
      <c r="P589" s="50"/>
      <c r="Q589" s="50"/>
      <c r="R589" s="50"/>
      <c r="S589" s="51"/>
      <c r="T589" s="4"/>
      <c r="U589" s="4"/>
    </row>
    <row r="590" ht="18.0" customHeight="1">
      <c r="A590" s="35"/>
      <c r="B590" s="37" t="s">
        <v>853</v>
      </c>
      <c r="C590" s="38">
        <v>44820.0</v>
      </c>
      <c r="D590" s="37">
        <v>22.0</v>
      </c>
      <c r="E590" s="37">
        <v>983.0</v>
      </c>
      <c r="F590" s="37">
        <v>219.85</v>
      </c>
      <c r="G590" s="39">
        <v>7922.33</v>
      </c>
      <c r="H590" s="37" t="s">
        <v>854</v>
      </c>
      <c r="I590" s="52" t="s">
        <v>42</v>
      </c>
      <c r="J590" s="37" t="str">
        <f t="shared" si="4"/>
        <v>No</v>
      </c>
      <c r="K590" s="35"/>
      <c r="L590" s="35"/>
      <c r="M590" s="35"/>
      <c r="N590" s="4"/>
      <c r="O590" s="4"/>
      <c r="P590" s="50"/>
      <c r="Q590" s="50"/>
      <c r="R590" s="50"/>
      <c r="S590" s="51"/>
      <c r="T590" s="4"/>
      <c r="U590" s="4"/>
    </row>
    <row r="591" ht="18.0" customHeight="1">
      <c r="A591" s="35"/>
      <c r="B591" s="37" t="s">
        <v>855</v>
      </c>
      <c r="C591" s="38">
        <v>44605.0</v>
      </c>
      <c r="D591" s="37">
        <v>9.0</v>
      </c>
      <c r="E591" s="37">
        <v>582.0</v>
      </c>
      <c r="F591" s="37">
        <v>164.12</v>
      </c>
      <c r="G591" s="39">
        <v>7238.52</v>
      </c>
      <c r="H591" s="37" t="s">
        <v>856</v>
      </c>
      <c r="I591" s="52" t="s">
        <v>50</v>
      </c>
      <c r="J591" s="37" t="str">
        <f t="shared" si="4"/>
        <v>No</v>
      </c>
      <c r="K591" s="35"/>
      <c r="L591" s="35"/>
      <c r="M591" s="35"/>
      <c r="N591" s="4"/>
      <c r="O591" s="4"/>
      <c r="P591" s="50"/>
      <c r="Q591" s="50"/>
      <c r="R591" s="50"/>
      <c r="S591" s="51"/>
      <c r="T591" s="4"/>
      <c r="U591" s="4"/>
    </row>
    <row r="592" ht="18.0" customHeight="1">
      <c r="A592" s="35"/>
      <c r="B592" s="37" t="s">
        <v>857</v>
      </c>
      <c r="C592" s="38">
        <v>44667.0</v>
      </c>
      <c r="D592" s="37">
        <v>49.0</v>
      </c>
      <c r="E592" s="37">
        <v>877.0</v>
      </c>
      <c r="F592" s="37">
        <v>146.91</v>
      </c>
      <c r="G592" s="39">
        <v>1305.44</v>
      </c>
      <c r="H592" s="37" t="s">
        <v>858</v>
      </c>
      <c r="I592" s="52" t="s">
        <v>50</v>
      </c>
      <c r="J592" s="37" t="str">
        <f t="shared" si="4"/>
        <v>No</v>
      </c>
      <c r="K592" s="35"/>
      <c r="L592" s="35"/>
      <c r="M592" s="35"/>
      <c r="N592" s="4"/>
      <c r="O592" s="4"/>
      <c r="P592" s="50"/>
      <c r="Q592" s="50"/>
      <c r="R592" s="50"/>
      <c r="S592" s="51"/>
      <c r="T592" s="4"/>
      <c r="U592" s="4"/>
    </row>
    <row r="593" ht="18.0" customHeight="1">
      <c r="A593" s="35"/>
      <c r="B593" s="37" t="s">
        <v>859</v>
      </c>
      <c r="C593" s="38">
        <v>44832.0</v>
      </c>
      <c r="D593" s="37">
        <v>82.0</v>
      </c>
      <c r="E593" s="37">
        <v>448.0</v>
      </c>
      <c r="F593" s="37">
        <v>35.44</v>
      </c>
      <c r="G593" s="39">
        <v>4722.62</v>
      </c>
      <c r="H593" s="37" t="s">
        <v>860</v>
      </c>
      <c r="I593" s="52" t="s">
        <v>50</v>
      </c>
      <c r="J593" s="37" t="str">
        <f t="shared" si="4"/>
        <v>No</v>
      </c>
      <c r="K593" s="35"/>
      <c r="L593" s="35"/>
      <c r="M593" s="35"/>
      <c r="N593" s="4"/>
      <c r="O593" s="4"/>
      <c r="P593" s="50"/>
      <c r="Q593" s="50"/>
      <c r="R593" s="50"/>
      <c r="S593" s="51"/>
      <c r="T593" s="4"/>
      <c r="U593" s="4"/>
    </row>
    <row r="594" ht="18.0" customHeight="1">
      <c r="A594" s="35"/>
      <c r="B594" s="37" t="s">
        <v>861</v>
      </c>
      <c r="C594" s="38">
        <v>44653.0</v>
      </c>
      <c r="D594" s="37">
        <v>53.0</v>
      </c>
      <c r="E594" s="37">
        <v>188.0</v>
      </c>
      <c r="F594" s="37">
        <v>168.54</v>
      </c>
      <c r="G594" s="39">
        <v>4673.61</v>
      </c>
      <c r="H594" s="37" t="s">
        <v>862</v>
      </c>
      <c r="I594" s="52" t="s">
        <v>38</v>
      </c>
      <c r="J594" s="37" t="str">
        <f t="shared" si="4"/>
        <v>No</v>
      </c>
      <c r="K594" s="35"/>
      <c r="L594" s="35"/>
      <c r="M594" s="35"/>
      <c r="N594" s="4"/>
      <c r="O594" s="4"/>
      <c r="P594" s="50"/>
      <c r="Q594" s="50"/>
      <c r="R594" s="50"/>
      <c r="S594" s="51"/>
      <c r="T594" s="4"/>
      <c r="U594" s="4"/>
    </row>
    <row r="595" ht="18.0" customHeight="1">
      <c r="A595" s="35"/>
      <c r="B595" s="37" t="s">
        <v>863</v>
      </c>
      <c r="C595" s="38">
        <v>44915.0</v>
      </c>
      <c r="D595" s="37">
        <v>91.0</v>
      </c>
      <c r="E595" s="37">
        <v>367.0</v>
      </c>
      <c r="F595" s="37">
        <v>58.84</v>
      </c>
      <c r="G595" s="39">
        <v>5708.68</v>
      </c>
      <c r="H595" s="37" t="s">
        <v>707</v>
      </c>
      <c r="I595" s="52" t="s">
        <v>42</v>
      </c>
      <c r="J595" s="37" t="str">
        <f t="shared" si="4"/>
        <v>No</v>
      </c>
      <c r="K595" s="35"/>
      <c r="L595" s="35"/>
      <c r="M595" s="35"/>
      <c r="N595" s="4"/>
      <c r="O595" s="4"/>
      <c r="P595" s="50"/>
      <c r="Q595" s="50"/>
      <c r="R595" s="50"/>
      <c r="S595" s="51"/>
      <c r="T595" s="4"/>
      <c r="U595" s="4"/>
    </row>
    <row r="596" ht="18.0" customHeight="1">
      <c r="A596" s="35"/>
      <c r="B596" s="37" t="s">
        <v>40</v>
      </c>
      <c r="C596" s="38">
        <v>44770.0</v>
      </c>
      <c r="D596" s="37">
        <v>39.0</v>
      </c>
      <c r="E596" s="37">
        <v>738.0</v>
      </c>
      <c r="F596" s="37">
        <v>48.18</v>
      </c>
      <c r="G596" s="39">
        <v>7881.14</v>
      </c>
      <c r="H596" s="37" t="s">
        <v>864</v>
      </c>
      <c r="I596" s="52" t="s">
        <v>38</v>
      </c>
      <c r="J596" s="37" t="str">
        <f t="shared" si="4"/>
        <v>No</v>
      </c>
      <c r="K596" s="35"/>
      <c r="L596" s="35"/>
      <c r="M596" s="35"/>
      <c r="N596" s="4"/>
      <c r="O596" s="4"/>
      <c r="P596" s="50"/>
      <c r="Q596" s="50"/>
      <c r="R596" s="50"/>
      <c r="S596" s="51"/>
      <c r="T596" s="4"/>
      <c r="U596" s="4"/>
    </row>
    <row r="597" ht="18.0" customHeight="1">
      <c r="A597" s="35"/>
      <c r="B597" s="37" t="s">
        <v>865</v>
      </c>
      <c r="C597" s="38">
        <v>44574.0</v>
      </c>
      <c r="D597" s="37">
        <v>15.0</v>
      </c>
      <c r="E597" s="37">
        <v>804.0</v>
      </c>
      <c r="F597" s="37">
        <v>203.52</v>
      </c>
      <c r="G597" s="39">
        <v>4173.63</v>
      </c>
      <c r="H597" s="37" t="s">
        <v>866</v>
      </c>
      <c r="I597" s="52" t="s">
        <v>42</v>
      </c>
      <c r="J597" s="37" t="str">
        <f t="shared" si="4"/>
        <v>No</v>
      </c>
      <c r="K597" s="35"/>
      <c r="L597" s="35"/>
      <c r="M597" s="35"/>
      <c r="N597" s="4"/>
      <c r="O597" s="4"/>
      <c r="P597" s="50"/>
      <c r="Q597" s="50"/>
      <c r="R597" s="50"/>
      <c r="S597" s="51"/>
      <c r="T597" s="4"/>
      <c r="U597" s="4"/>
    </row>
    <row r="598" ht="18.0" customHeight="1">
      <c r="A598" s="35"/>
      <c r="B598" s="37" t="s">
        <v>867</v>
      </c>
      <c r="C598" s="38">
        <v>44673.0</v>
      </c>
      <c r="D598" s="37">
        <v>56.0</v>
      </c>
      <c r="E598" s="37">
        <v>574.0</v>
      </c>
      <c r="F598" s="37">
        <v>93.66</v>
      </c>
      <c r="G598" s="39">
        <v>1392.05</v>
      </c>
      <c r="H598" s="37" t="s">
        <v>868</v>
      </c>
      <c r="I598" s="52" t="s">
        <v>42</v>
      </c>
      <c r="J598" s="37" t="str">
        <f t="shared" si="4"/>
        <v>No</v>
      </c>
      <c r="K598" s="35"/>
      <c r="L598" s="35"/>
      <c r="M598" s="35"/>
      <c r="N598" s="4"/>
      <c r="O598" s="4"/>
      <c r="P598" s="50"/>
      <c r="Q598" s="50"/>
      <c r="R598" s="50"/>
      <c r="S598" s="51"/>
      <c r="T598" s="4"/>
      <c r="U598" s="4"/>
    </row>
    <row r="599" ht="18.0" customHeight="1">
      <c r="A599" s="35"/>
      <c r="B599" s="37" t="s">
        <v>869</v>
      </c>
      <c r="C599" s="38">
        <v>44786.0</v>
      </c>
      <c r="D599" s="37">
        <v>38.0</v>
      </c>
      <c r="E599" s="37">
        <v>348.0</v>
      </c>
      <c r="F599" s="37">
        <v>236.97</v>
      </c>
      <c r="G599" s="39">
        <v>4649.03</v>
      </c>
      <c r="H599" s="37" t="s">
        <v>870</v>
      </c>
      <c r="I599" s="52" t="s">
        <v>42</v>
      </c>
      <c r="J599" s="37" t="str">
        <f t="shared" si="4"/>
        <v>No</v>
      </c>
      <c r="K599" s="35"/>
      <c r="L599" s="35"/>
      <c r="M599" s="35"/>
      <c r="N599" s="4"/>
      <c r="O599" s="4"/>
      <c r="P599" s="50"/>
      <c r="Q599" s="50"/>
      <c r="R599" s="50"/>
      <c r="S599" s="51"/>
      <c r="T599" s="4"/>
      <c r="U599" s="4"/>
    </row>
    <row r="600" ht="18.0" customHeight="1">
      <c r="A600" s="35"/>
      <c r="B600" s="37" t="s">
        <v>871</v>
      </c>
      <c r="C600" s="38">
        <v>44826.0</v>
      </c>
      <c r="D600" s="37">
        <v>9.0</v>
      </c>
      <c r="E600" s="37">
        <v>316.0</v>
      </c>
      <c r="F600" s="37">
        <v>41.33</v>
      </c>
      <c r="G600" s="39">
        <v>5151.54</v>
      </c>
      <c r="H600" s="37" t="s">
        <v>872</v>
      </c>
      <c r="I600" s="52" t="s">
        <v>38</v>
      </c>
      <c r="J600" s="37" t="str">
        <f t="shared" si="4"/>
        <v>No</v>
      </c>
      <c r="K600" s="35"/>
      <c r="L600" s="35"/>
      <c r="M600" s="35"/>
      <c r="N600" s="4"/>
      <c r="O600" s="4"/>
      <c r="P600" s="50"/>
      <c r="Q600" s="50"/>
      <c r="R600" s="50"/>
      <c r="S600" s="51"/>
      <c r="T600" s="4"/>
      <c r="U600" s="4"/>
    </row>
    <row r="601" ht="18.0" customHeight="1">
      <c r="A601" s="35"/>
      <c r="B601" s="37" t="s">
        <v>873</v>
      </c>
      <c r="C601" s="38">
        <v>44671.0</v>
      </c>
      <c r="D601" s="37">
        <v>44.0</v>
      </c>
      <c r="E601" s="37">
        <v>634.0</v>
      </c>
      <c r="F601" s="37">
        <v>214.89</v>
      </c>
      <c r="G601" s="39">
        <v>8383.3</v>
      </c>
      <c r="H601" s="37" t="s">
        <v>874</v>
      </c>
      <c r="I601" s="52" t="s">
        <v>38</v>
      </c>
      <c r="J601" s="37" t="str">
        <f t="shared" si="4"/>
        <v>No</v>
      </c>
      <c r="K601" s="35"/>
      <c r="L601" s="35"/>
      <c r="M601" s="35"/>
      <c r="N601" s="4"/>
      <c r="O601" s="4"/>
      <c r="P601" s="50"/>
      <c r="Q601" s="50"/>
      <c r="R601" s="50"/>
      <c r="S601" s="51"/>
      <c r="T601" s="4"/>
      <c r="U601" s="4"/>
    </row>
    <row r="602" ht="18.0" customHeight="1">
      <c r="A602" s="35"/>
      <c r="B602" s="37" t="s">
        <v>875</v>
      </c>
      <c r="C602" s="38">
        <v>44667.0</v>
      </c>
      <c r="D602" s="37">
        <v>80.0</v>
      </c>
      <c r="E602" s="37">
        <v>607.0</v>
      </c>
      <c r="F602" s="37">
        <v>63.15</v>
      </c>
      <c r="G602" s="39">
        <v>9593.29</v>
      </c>
      <c r="H602" s="37" t="s">
        <v>876</v>
      </c>
      <c r="I602" s="52" t="s">
        <v>50</v>
      </c>
      <c r="J602" s="37" t="str">
        <f t="shared" si="4"/>
        <v>No</v>
      </c>
      <c r="K602" s="35"/>
      <c r="L602" s="35"/>
      <c r="M602" s="35"/>
      <c r="N602" s="4"/>
      <c r="O602" s="4"/>
      <c r="P602" s="50"/>
      <c r="Q602" s="50"/>
      <c r="R602" s="50"/>
      <c r="S602" s="51"/>
      <c r="T602" s="4"/>
      <c r="U602" s="4"/>
    </row>
    <row r="603" ht="18.0" customHeight="1">
      <c r="A603" s="35"/>
      <c r="B603" s="37" t="s">
        <v>877</v>
      </c>
      <c r="C603" s="38">
        <v>44811.0</v>
      </c>
      <c r="D603" s="37">
        <v>6.0</v>
      </c>
      <c r="E603" s="37">
        <v>469.0</v>
      </c>
      <c r="F603" s="37">
        <v>216.0</v>
      </c>
      <c r="G603" s="39">
        <v>9134.93</v>
      </c>
      <c r="H603" s="37" t="s">
        <v>878</v>
      </c>
      <c r="I603" s="52" t="s">
        <v>42</v>
      </c>
      <c r="J603" s="37" t="str">
        <f t="shared" si="4"/>
        <v>No</v>
      </c>
      <c r="K603" s="35"/>
      <c r="L603" s="35"/>
      <c r="M603" s="35"/>
      <c r="N603" s="4"/>
      <c r="O603" s="4"/>
      <c r="P603" s="50"/>
      <c r="Q603" s="50"/>
      <c r="R603" s="50"/>
      <c r="S603" s="51"/>
      <c r="T603" s="4"/>
      <c r="U603" s="4"/>
    </row>
    <row r="604" ht="18.0" customHeight="1">
      <c r="A604" s="35"/>
      <c r="B604" s="37" t="s">
        <v>879</v>
      </c>
      <c r="C604" s="38">
        <v>44761.0</v>
      </c>
      <c r="D604" s="37">
        <v>33.0</v>
      </c>
      <c r="E604" s="37">
        <v>342.0</v>
      </c>
      <c r="F604" s="37">
        <v>208.49</v>
      </c>
      <c r="G604" s="39">
        <v>4494.8</v>
      </c>
      <c r="H604" s="37" t="s">
        <v>880</v>
      </c>
      <c r="I604" s="52" t="s">
        <v>42</v>
      </c>
      <c r="J604" s="37" t="str">
        <f t="shared" si="4"/>
        <v>No</v>
      </c>
      <c r="K604" s="35"/>
      <c r="L604" s="35"/>
      <c r="M604" s="35"/>
      <c r="N604" s="4"/>
      <c r="O604" s="4"/>
      <c r="P604" s="50"/>
      <c r="Q604" s="50"/>
      <c r="R604" s="50"/>
      <c r="S604" s="51"/>
      <c r="T604" s="4"/>
      <c r="U604" s="4"/>
    </row>
    <row r="605" ht="18.0" customHeight="1">
      <c r="A605" s="35"/>
      <c r="B605" s="37" t="s">
        <v>881</v>
      </c>
      <c r="C605" s="38">
        <v>44694.0</v>
      </c>
      <c r="D605" s="37">
        <v>25.0</v>
      </c>
      <c r="E605" s="37">
        <v>206.0</v>
      </c>
      <c r="F605" s="37">
        <v>215.32</v>
      </c>
      <c r="G605" s="39">
        <v>7289.77</v>
      </c>
      <c r="H605" s="37" t="s">
        <v>882</v>
      </c>
      <c r="I605" s="52" t="s">
        <v>50</v>
      </c>
      <c r="J605" s="37" t="str">
        <f t="shared" si="4"/>
        <v>No</v>
      </c>
      <c r="K605" s="35"/>
      <c r="L605" s="35"/>
      <c r="M605" s="35"/>
      <c r="N605" s="4"/>
      <c r="O605" s="4"/>
      <c r="P605" s="50"/>
      <c r="Q605" s="50"/>
      <c r="R605" s="50"/>
      <c r="S605" s="51"/>
      <c r="T605" s="4"/>
      <c r="U605" s="4"/>
    </row>
    <row r="606" ht="18.0" customHeight="1">
      <c r="A606" s="35"/>
      <c r="B606" s="37" t="s">
        <v>883</v>
      </c>
      <c r="C606" s="38">
        <v>44864.0</v>
      </c>
      <c r="D606" s="37">
        <v>58.0</v>
      </c>
      <c r="E606" s="37">
        <v>821.0</v>
      </c>
      <c r="F606" s="37">
        <v>123.78</v>
      </c>
      <c r="G606" s="39">
        <v>6544.63</v>
      </c>
      <c r="H606" s="37" t="s">
        <v>884</v>
      </c>
      <c r="I606" s="52" t="s">
        <v>50</v>
      </c>
      <c r="J606" s="37" t="str">
        <f t="shared" si="4"/>
        <v>No</v>
      </c>
      <c r="K606" s="35"/>
      <c r="L606" s="35"/>
      <c r="M606" s="35"/>
      <c r="N606" s="4"/>
      <c r="O606" s="4"/>
      <c r="P606" s="50"/>
      <c r="Q606" s="50"/>
      <c r="R606" s="50"/>
      <c r="S606" s="51"/>
      <c r="T606" s="4"/>
      <c r="U606" s="4"/>
    </row>
    <row r="607" ht="18.0" customHeight="1">
      <c r="A607" s="35"/>
      <c r="B607" s="37" t="s">
        <v>885</v>
      </c>
      <c r="C607" s="38">
        <v>44823.0</v>
      </c>
      <c r="D607" s="37">
        <v>86.0</v>
      </c>
      <c r="E607" s="37">
        <v>884.0</v>
      </c>
      <c r="F607" s="37">
        <v>128.52</v>
      </c>
      <c r="G607" s="39">
        <v>4689.05</v>
      </c>
      <c r="H607" s="37" t="s">
        <v>886</v>
      </c>
      <c r="I607" s="52" t="s">
        <v>42</v>
      </c>
      <c r="J607" s="37" t="str">
        <f t="shared" si="4"/>
        <v>No</v>
      </c>
      <c r="K607" s="35"/>
      <c r="L607" s="35"/>
      <c r="M607" s="35"/>
      <c r="N607" s="4"/>
      <c r="O607" s="4"/>
      <c r="P607" s="50"/>
      <c r="Q607" s="50"/>
      <c r="R607" s="50"/>
      <c r="S607" s="51"/>
      <c r="T607" s="4"/>
      <c r="U607" s="4"/>
    </row>
    <row r="608" ht="18.0" customHeight="1">
      <c r="A608" s="35"/>
      <c r="B608" s="37" t="s">
        <v>17</v>
      </c>
      <c r="C608" s="38">
        <v>44700.0</v>
      </c>
      <c r="D608" s="37">
        <v>81.0</v>
      </c>
      <c r="E608" s="37">
        <v>547.0</v>
      </c>
      <c r="F608" s="37">
        <v>163.92</v>
      </c>
      <c r="G608" s="39">
        <v>6776.47</v>
      </c>
      <c r="H608" s="37" t="s">
        <v>887</v>
      </c>
      <c r="I608" s="52" t="s">
        <v>42</v>
      </c>
      <c r="J608" s="37" t="str">
        <f t="shared" si="4"/>
        <v>No</v>
      </c>
      <c r="K608" s="35"/>
      <c r="L608" s="35"/>
      <c r="M608" s="35"/>
      <c r="N608" s="4"/>
      <c r="O608" s="4"/>
      <c r="P608" s="50"/>
      <c r="Q608" s="50"/>
      <c r="R608" s="50"/>
      <c r="S608" s="51"/>
      <c r="T608" s="4"/>
      <c r="U608" s="4"/>
    </row>
    <row r="609" ht="18.0" customHeight="1">
      <c r="A609" s="35"/>
      <c r="B609" s="37" t="s">
        <v>48</v>
      </c>
      <c r="C609" s="38">
        <v>44721.0</v>
      </c>
      <c r="D609" s="37">
        <v>71.0</v>
      </c>
      <c r="E609" s="37">
        <v>29.0</v>
      </c>
      <c r="F609" s="37">
        <v>196.39</v>
      </c>
      <c r="G609" s="39">
        <v>3922.43</v>
      </c>
      <c r="H609" s="37" t="s">
        <v>888</v>
      </c>
      <c r="I609" s="52" t="s">
        <v>50</v>
      </c>
      <c r="J609" s="37" t="str">
        <f t="shared" si="4"/>
        <v>No</v>
      </c>
      <c r="K609" s="35"/>
      <c r="L609" s="35"/>
      <c r="M609" s="35"/>
      <c r="N609" s="4"/>
      <c r="O609" s="4"/>
      <c r="P609" s="50"/>
      <c r="Q609" s="50"/>
      <c r="R609" s="50"/>
      <c r="S609" s="51"/>
      <c r="T609" s="4"/>
      <c r="U609" s="4"/>
    </row>
    <row r="610" ht="18.0" customHeight="1">
      <c r="A610" s="35"/>
      <c r="B610" s="37" t="s">
        <v>21</v>
      </c>
      <c r="C610" s="38">
        <v>44775.0</v>
      </c>
      <c r="D610" s="37">
        <v>94.0</v>
      </c>
      <c r="E610" s="37">
        <v>222.0</v>
      </c>
      <c r="F610" s="37">
        <v>22.3</v>
      </c>
      <c r="G610" s="39">
        <v>8907.0</v>
      </c>
      <c r="H610" s="37" t="s">
        <v>889</v>
      </c>
      <c r="I610" s="52" t="s">
        <v>38</v>
      </c>
      <c r="J610" s="37" t="str">
        <f t="shared" si="4"/>
        <v>No</v>
      </c>
      <c r="K610" s="35"/>
      <c r="L610" s="35"/>
      <c r="M610" s="35"/>
      <c r="N610" s="4"/>
      <c r="O610" s="4"/>
      <c r="P610" s="50"/>
      <c r="Q610" s="50"/>
      <c r="R610" s="50"/>
      <c r="S610" s="51"/>
      <c r="T610" s="4"/>
      <c r="U610" s="4"/>
    </row>
    <row r="611" ht="18.0" customHeight="1">
      <c r="A611" s="35"/>
      <c r="B611" s="37" t="s">
        <v>890</v>
      </c>
      <c r="C611" s="38">
        <v>44607.0</v>
      </c>
      <c r="D611" s="37">
        <v>98.0</v>
      </c>
      <c r="E611" s="37">
        <v>441.0</v>
      </c>
      <c r="F611" s="37">
        <v>21.91</v>
      </c>
      <c r="G611" s="39">
        <v>4427.01</v>
      </c>
      <c r="H611" s="37" t="s">
        <v>891</v>
      </c>
      <c r="I611" s="52" t="s">
        <v>42</v>
      </c>
      <c r="J611" s="37" t="str">
        <f t="shared" si="4"/>
        <v>No</v>
      </c>
      <c r="K611" s="35"/>
      <c r="L611" s="35"/>
      <c r="M611" s="35"/>
      <c r="N611" s="4"/>
      <c r="O611" s="4"/>
      <c r="P611" s="50"/>
      <c r="Q611" s="50"/>
      <c r="R611" s="50"/>
      <c r="S611" s="51"/>
      <c r="T611" s="4"/>
      <c r="U611" s="4"/>
    </row>
    <row r="612" ht="18.0" customHeight="1">
      <c r="A612" s="35"/>
      <c r="B612" s="37" t="s">
        <v>892</v>
      </c>
      <c r="C612" s="38">
        <v>44728.0</v>
      </c>
      <c r="D612" s="37">
        <v>89.0</v>
      </c>
      <c r="E612" s="37">
        <v>859.0</v>
      </c>
      <c r="F612" s="37">
        <v>95.12</v>
      </c>
      <c r="G612" s="39">
        <v>8967.48</v>
      </c>
      <c r="H612" s="37" t="s">
        <v>893</v>
      </c>
      <c r="I612" s="52" t="s">
        <v>42</v>
      </c>
      <c r="J612" s="37" t="str">
        <f t="shared" si="4"/>
        <v>No</v>
      </c>
      <c r="K612" s="35"/>
      <c r="L612" s="35"/>
      <c r="M612" s="35"/>
      <c r="N612" s="4"/>
      <c r="O612" s="4"/>
      <c r="P612" s="50"/>
      <c r="Q612" s="50"/>
      <c r="R612" s="50"/>
      <c r="S612" s="51"/>
      <c r="T612" s="4"/>
      <c r="U612" s="4"/>
    </row>
    <row r="613" ht="18.0" customHeight="1">
      <c r="A613" s="35"/>
      <c r="B613" s="37" t="s">
        <v>894</v>
      </c>
      <c r="C613" s="38">
        <v>44672.0</v>
      </c>
      <c r="D613" s="37">
        <v>65.0</v>
      </c>
      <c r="E613" s="37">
        <v>904.0</v>
      </c>
      <c r="F613" s="37">
        <v>233.79</v>
      </c>
      <c r="G613" s="39">
        <v>315.54</v>
      </c>
      <c r="H613" s="37" t="s">
        <v>895</v>
      </c>
      <c r="I613" s="52" t="s">
        <v>42</v>
      </c>
      <c r="J613" s="37" t="str">
        <f t="shared" si="4"/>
        <v>No</v>
      </c>
      <c r="K613" s="35"/>
      <c r="L613" s="35"/>
      <c r="M613" s="35"/>
      <c r="N613" s="4"/>
      <c r="O613" s="4"/>
      <c r="P613" s="50"/>
      <c r="Q613" s="50"/>
      <c r="R613" s="50"/>
      <c r="S613" s="51"/>
      <c r="T613" s="4"/>
      <c r="U613" s="4"/>
    </row>
    <row r="614" ht="18.0" customHeight="1">
      <c r="A614" s="35"/>
      <c r="B614" s="37" t="s">
        <v>896</v>
      </c>
      <c r="C614" s="38">
        <v>44811.0</v>
      </c>
      <c r="D614" s="37">
        <v>81.0</v>
      </c>
      <c r="E614" s="37">
        <v>628.0</v>
      </c>
      <c r="F614" s="37">
        <v>173.75</v>
      </c>
      <c r="G614" s="39">
        <v>8055.98</v>
      </c>
      <c r="H614" s="37" t="s">
        <v>897</v>
      </c>
      <c r="I614" s="52" t="s">
        <v>42</v>
      </c>
      <c r="J614" s="37" t="str">
        <f t="shared" si="4"/>
        <v>No</v>
      </c>
      <c r="K614" s="35"/>
      <c r="L614" s="35"/>
      <c r="M614" s="35"/>
      <c r="N614" s="4"/>
      <c r="O614" s="4"/>
      <c r="P614" s="50"/>
      <c r="Q614" s="50"/>
      <c r="R614" s="50"/>
      <c r="S614" s="51"/>
      <c r="T614" s="4"/>
      <c r="U614" s="4"/>
    </row>
    <row r="615" ht="18.0" customHeight="1">
      <c r="A615" s="35"/>
      <c r="B615" s="37" t="s">
        <v>898</v>
      </c>
      <c r="C615" s="38">
        <v>44672.0</v>
      </c>
      <c r="D615" s="37">
        <v>40.0</v>
      </c>
      <c r="E615" s="37">
        <v>674.0</v>
      </c>
      <c r="F615" s="37">
        <v>84.35</v>
      </c>
      <c r="G615" s="39">
        <v>5064.37</v>
      </c>
      <c r="H615" s="37" t="s">
        <v>899</v>
      </c>
      <c r="I615" s="52" t="s">
        <v>38</v>
      </c>
      <c r="J615" s="37" t="str">
        <f t="shared" si="4"/>
        <v>No</v>
      </c>
      <c r="K615" s="35"/>
      <c r="L615" s="35"/>
      <c r="M615" s="35"/>
      <c r="N615" s="4"/>
      <c r="O615" s="4"/>
      <c r="P615" s="50"/>
      <c r="Q615" s="50"/>
      <c r="R615" s="50"/>
      <c r="S615" s="51"/>
      <c r="T615" s="4"/>
      <c r="U615" s="4"/>
    </row>
    <row r="616" ht="18.0" customHeight="1">
      <c r="A616" s="35"/>
      <c r="B616" s="37" t="s">
        <v>900</v>
      </c>
      <c r="C616" s="38">
        <v>44909.0</v>
      </c>
      <c r="D616" s="37">
        <v>43.0</v>
      </c>
      <c r="E616" s="37">
        <v>537.0</v>
      </c>
      <c r="F616" s="37">
        <v>21.22</v>
      </c>
      <c r="G616" s="39">
        <v>397.32</v>
      </c>
      <c r="H616" s="37" t="s">
        <v>901</v>
      </c>
      <c r="I616" s="52" t="s">
        <v>42</v>
      </c>
      <c r="J616" s="37" t="str">
        <f t="shared" si="4"/>
        <v>No</v>
      </c>
      <c r="K616" s="35"/>
      <c r="L616" s="35"/>
      <c r="M616" s="35"/>
      <c r="N616" s="4"/>
      <c r="O616" s="4"/>
      <c r="P616" s="50"/>
      <c r="Q616" s="50"/>
      <c r="R616" s="50"/>
      <c r="S616" s="51"/>
      <c r="T616" s="4"/>
      <c r="U616" s="4"/>
    </row>
    <row r="617" ht="18.0" customHeight="1">
      <c r="A617" s="35"/>
      <c r="B617" s="37" t="s">
        <v>902</v>
      </c>
      <c r="C617" s="38">
        <v>44852.0</v>
      </c>
      <c r="D617" s="37">
        <v>65.0</v>
      </c>
      <c r="E617" s="37">
        <v>937.0</v>
      </c>
      <c r="F617" s="37">
        <v>116.38</v>
      </c>
      <c r="G617" s="39">
        <v>9315.57</v>
      </c>
      <c r="H617" s="37" t="s">
        <v>903</v>
      </c>
      <c r="I617" s="52" t="s">
        <v>42</v>
      </c>
      <c r="J617" s="37" t="str">
        <f t="shared" si="4"/>
        <v>No</v>
      </c>
      <c r="K617" s="35"/>
      <c r="L617" s="35"/>
      <c r="M617" s="35"/>
      <c r="N617" s="4"/>
      <c r="O617" s="4"/>
      <c r="P617" s="50"/>
      <c r="Q617" s="50"/>
      <c r="R617" s="50"/>
      <c r="S617" s="51"/>
      <c r="T617" s="4"/>
      <c r="U617" s="4"/>
    </row>
    <row r="618" ht="18.0" customHeight="1">
      <c r="A618" s="35"/>
      <c r="B618" s="37" t="s">
        <v>904</v>
      </c>
      <c r="C618" s="38">
        <v>44739.0</v>
      </c>
      <c r="D618" s="37">
        <v>21.0</v>
      </c>
      <c r="E618" s="37">
        <v>125.0</v>
      </c>
      <c r="F618" s="37">
        <v>110.0</v>
      </c>
      <c r="G618" s="39">
        <v>2692.26</v>
      </c>
      <c r="H618" s="37" t="s">
        <v>905</v>
      </c>
      <c r="I618" s="52" t="s">
        <v>38</v>
      </c>
      <c r="J618" s="37" t="str">
        <f t="shared" si="4"/>
        <v>No</v>
      </c>
      <c r="K618" s="35"/>
      <c r="L618" s="35"/>
      <c r="M618" s="35"/>
      <c r="N618" s="4"/>
      <c r="O618" s="4"/>
      <c r="P618" s="50"/>
      <c r="Q618" s="50"/>
      <c r="R618" s="50"/>
      <c r="S618" s="51"/>
      <c r="T618" s="4"/>
      <c r="U618" s="4"/>
    </row>
    <row r="619" ht="18.0" customHeight="1">
      <c r="A619" s="35"/>
      <c r="B619" s="37" t="s">
        <v>906</v>
      </c>
      <c r="C619" s="38">
        <v>44898.0</v>
      </c>
      <c r="D619" s="37">
        <v>54.0</v>
      </c>
      <c r="E619" s="37">
        <v>333.0</v>
      </c>
      <c r="F619" s="37">
        <v>77.65</v>
      </c>
      <c r="G619" s="39">
        <v>3138.86</v>
      </c>
      <c r="H619" s="37" t="s">
        <v>907</v>
      </c>
      <c r="I619" s="52" t="s">
        <v>42</v>
      </c>
      <c r="J619" s="37" t="str">
        <f t="shared" si="4"/>
        <v>No</v>
      </c>
      <c r="K619" s="35"/>
      <c r="L619" s="35"/>
      <c r="M619" s="35"/>
      <c r="N619" s="4"/>
      <c r="O619" s="4"/>
      <c r="P619" s="50"/>
      <c r="Q619" s="50"/>
      <c r="R619" s="50"/>
      <c r="S619" s="51"/>
      <c r="T619" s="4"/>
      <c r="U619" s="4"/>
    </row>
    <row r="620" ht="18.0" customHeight="1">
      <c r="A620" s="35"/>
      <c r="B620" s="37" t="s">
        <v>908</v>
      </c>
      <c r="C620" s="38">
        <v>44813.0</v>
      </c>
      <c r="D620" s="37">
        <v>20.0</v>
      </c>
      <c r="E620" s="37">
        <v>419.0</v>
      </c>
      <c r="F620" s="37">
        <v>26.3</v>
      </c>
      <c r="G620" s="39">
        <v>3485.16</v>
      </c>
      <c r="H620" s="37" t="s">
        <v>909</v>
      </c>
      <c r="I620" s="52" t="s">
        <v>50</v>
      </c>
      <c r="J620" s="37" t="str">
        <f t="shared" si="4"/>
        <v>No</v>
      </c>
      <c r="K620" s="35"/>
      <c r="L620" s="35"/>
      <c r="M620" s="35"/>
      <c r="N620" s="4"/>
      <c r="O620" s="4"/>
      <c r="P620" s="50"/>
      <c r="Q620" s="50"/>
      <c r="R620" s="50"/>
      <c r="S620" s="51"/>
      <c r="T620" s="4"/>
      <c r="U620" s="4"/>
    </row>
    <row r="621" ht="18.0" customHeight="1">
      <c r="A621" s="35"/>
      <c r="B621" s="37" t="s">
        <v>910</v>
      </c>
      <c r="C621" s="38">
        <v>44591.0</v>
      </c>
      <c r="D621" s="37">
        <v>6.0</v>
      </c>
      <c r="E621" s="37">
        <v>839.0</v>
      </c>
      <c r="F621" s="37">
        <v>59.98</v>
      </c>
      <c r="G621" s="39">
        <v>9191.89</v>
      </c>
      <c r="H621" s="37" t="s">
        <v>911</v>
      </c>
      <c r="I621" s="52" t="s">
        <v>38</v>
      </c>
      <c r="J621" s="37" t="str">
        <f t="shared" si="4"/>
        <v>No</v>
      </c>
      <c r="K621" s="35"/>
      <c r="L621" s="35"/>
      <c r="M621" s="35"/>
      <c r="N621" s="4"/>
      <c r="O621" s="4"/>
      <c r="P621" s="50"/>
      <c r="Q621" s="50"/>
      <c r="R621" s="50"/>
      <c r="S621" s="51"/>
      <c r="T621" s="4"/>
      <c r="U621" s="4"/>
    </row>
    <row r="622" ht="18.0" customHeight="1">
      <c r="A622" s="35"/>
      <c r="B622" s="37" t="s">
        <v>912</v>
      </c>
      <c r="C622" s="38">
        <v>44687.0</v>
      </c>
      <c r="D622" s="37">
        <v>100.0</v>
      </c>
      <c r="E622" s="37">
        <v>469.0</v>
      </c>
      <c r="F622" s="37">
        <v>77.99</v>
      </c>
      <c r="G622" s="39">
        <v>4487.33</v>
      </c>
      <c r="H622" s="37" t="s">
        <v>913</v>
      </c>
      <c r="I622" s="52" t="s">
        <v>50</v>
      </c>
      <c r="J622" s="37" t="str">
        <f t="shared" si="4"/>
        <v>No</v>
      </c>
      <c r="K622" s="35"/>
      <c r="L622" s="35"/>
      <c r="M622" s="35"/>
      <c r="N622" s="4"/>
      <c r="O622" s="4"/>
      <c r="P622" s="50"/>
      <c r="Q622" s="50"/>
      <c r="R622" s="50"/>
      <c r="S622" s="51"/>
      <c r="T622" s="4"/>
      <c r="U622" s="4"/>
    </row>
    <row r="623" ht="18.0" customHeight="1">
      <c r="A623" s="35"/>
      <c r="B623" s="37" t="s">
        <v>914</v>
      </c>
      <c r="C623" s="38">
        <v>44854.0</v>
      </c>
      <c r="D623" s="37">
        <v>57.0</v>
      </c>
      <c r="E623" s="37">
        <v>171.0</v>
      </c>
      <c r="F623" s="37">
        <v>248.0</v>
      </c>
      <c r="G623" s="39">
        <v>3142.16</v>
      </c>
      <c r="H623" s="37" t="s">
        <v>915</v>
      </c>
      <c r="I623" s="52" t="s">
        <v>50</v>
      </c>
      <c r="J623" s="37" t="str">
        <f t="shared" si="4"/>
        <v>No</v>
      </c>
      <c r="K623" s="35"/>
      <c r="L623" s="35"/>
      <c r="M623" s="35"/>
      <c r="N623" s="4"/>
      <c r="O623" s="4"/>
      <c r="P623" s="50"/>
      <c r="Q623" s="50"/>
      <c r="R623" s="50"/>
      <c r="S623" s="51"/>
      <c r="T623" s="4"/>
      <c r="U623" s="4"/>
    </row>
    <row r="624" ht="18.0" customHeight="1">
      <c r="A624" s="35"/>
      <c r="B624" s="37" t="s">
        <v>916</v>
      </c>
      <c r="C624" s="38">
        <v>44623.0</v>
      </c>
      <c r="D624" s="37">
        <v>98.0</v>
      </c>
      <c r="E624" s="37">
        <v>193.0</v>
      </c>
      <c r="F624" s="37">
        <v>134.35</v>
      </c>
      <c r="G624" s="39">
        <v>1822.88</v>
      </c>
      <c r="H624" s="37" t="s">
        <v>917</v>
      </c>
      <c r="I624" s="52" t="s">
        <v>50</v>
      </c>
      <c r="J624" s="37" t="str">
        <f t="shared" si="4"/>
        <v>No</v>
      </c>
      <c r="K624" s="35"/>
      <c r="L624" s="35"/>
      <c r="M624" s="35"/>
      <c r="N624" s="4"/>
      <c r="O624" s="4"/>
      <c r="P624" s="50"/>
      <c r="Q624" s="50"/>
      <c r="R624" s="50"/>
      <c r="S624" s="51"/>
      <c r="T624" s="4"/>
      <c r="U624" s="4"/>
    </row>
    <row r="625" ht="18.0" customHeight="1">
      <c r="A625" s="35"/>
      <c r="B625" s="37" t="s">
        <v>918</v>
      </c>
      <c r="C625" s="38">
        <v>44668.0</v>
      </c>
      <c r="D625" s="37">
        <v>10.0</v>
      </c>
      <c r="E625" s="37">
        <v>788.0</v>
      </c>
      <c r="F625" s="37">
        <v>238.68</v>
      </c>
      <c r="G625" s="39">
        <v>2217.85</v>
      </c>
      <c r="H625" s="37" t="s">
        <v>919</v>
      </c>
      <c r="I625" s="52" t="s">
        <v>50</v>
      </c>
      <c r="J625" s="37" t="str">
        <f t="shared" si="4"/>
        <v>No</v>
      </c>
      <c r="K625" s="35"/>
      <c r="L625" s="35"/>
      <c r="M625" s="35"/>
      <c r="N625" s="4"/>
      <c r="O625" s="4"/>
      <c r="P625" s="50"/>
      <c r="Q625" s="50"/>
      <c r="R625" s="50"/>
      <c r="S625" s="51"/>
      <c r="T625" s="4"/>
      <c r="U625" s="4"/>
    </row>
    <row r="626" ht="18.0" customHeight="1">
      <c r="A626" s="35"/>
      <c r="B626" s="37" t="s">
        <v>920</v>
      </c>
      <c r="C626" s="38">
        <v>44632.0</v>
      </c>
      <c r="D626" s="37">
        <v>57.0</v>
      </c>
      <c r="E626" s="37">
        <v>498.0</v>
      </c>
      <c r="F626" s="37">
        <v>178.46</v>
      </c>
      <c r="G626" s="39">
        <v>3325.68</v>
      </c>
      <c r="H626" s="37" t="s">
        <v>921</v>
      </c>
      <c r="I626" s="52" t="s">
        <v>50</v>
      </c>
      <c r="J626" s="37" t="str">
        <f t="shared" si="4"/>
        <v>No</v>
      </c>
      <c r="K626" s="35"/>
      <c r="L626" s="35"/>
      <c r="M626" s="35"/>
      <c r="N626" s="4"/>
      <c r="O626" s="4"/>
      <c r="P626" s="50"/>
      <c r="Q626" s="50"/>
      <c r="R626" s="50"/>
      <c r="S626" s="51"/>
      <c r="T626" s="4"/>
      <c r="U626" s="4"/>
    </row>
    <row r="627" ht="18.0" customHeight="1">
      <c r="A627" s="35"/>
      <c r="B627" s="37" t="s">
        <v>922</v>
      </c>
      <c r="C627" s="38">
        <v>44871.0</v>
      </c>
      <c r="D627" s="37">
        <v>29.0</v>
      </c>
      <c r="E627" s="37">
        <v>904.0</v>
      </c>
      <c r="F627" s="37">
        <v>237.58</v>
      </c>
      <c r="G627" s="39">
        <v>5967.14</v>
      </c>
      <c r="H627" s="37" t="s">
        <v>923</v>
      </c>
      <c r="I627" s="52" t="s">
        <v>38</v>
      </c>
      <c r="J627" s="37" t="str">
        <f t="shared" si="4"/>
        <v>No</v>
      </c>
      <c r="K627" s="35"/>
      <c r="L627" s="35"/>
      <c r="M627" s="35"/>
      <c r="N627" s="4"/>
      <c r="O627" s="4"/>
      <c r="P627" s="50"/>
      <c r="Q627" s="50"/>
      <c r="R627" s="50"/>
      <c r="S627" s="51"/>
      <c r="T627" s="4"/>
      <c r="U627" s="4"/>
    </row>
    <row r="628" ht="18.0" customHeight="1">
      <c r="A628" s="35"/>
      <c r="B628" s="37" t="s">
        <v>924</v>
      </c>
      <c r="C628" s="38">
        <v>44925.0</v>
      </c>
      <c r="D628" s="37">
        <v>79.0</v>
      </c>
      <c r="E628" s="37">
        <v>784.0</v>
      </c>
      <c r="F628" s="37">
        <v>66.77</v>
      </c>
      <c r="G628" s="39">
        <v>2671.5</v>
      </c>
      <c r="H628" s="37" t="s">
        <v>925</v>
      </c>
      <c r="I628" s="52" t="s">
        <v>38</v>
      </c>
      <c r="J628" s="37" t="str">
        <f t="shared" si="4"/>
        <v>No</v>
      </c>
      <c r="K628" s="35"/>
      <c r="L628" s="35"/>
      <c r="M628" s="35"/>
      <c r="N628" s="4"/>
      <c r="O628" s="4"/>
      <c r="P628" s="50"/>
      <c r="Q628" s="50"/>
      <c r="R628" s="50"/>
      <c r="S628" s="51"/>
      <c r="T628" s="4"/>
      <c r="U628" s="4"/>
    </row>
    <row r="629" ht="18.0" customHeight="1">
      <c r="A629" s="35"/>
      <c r="B629" s="37" t="s">
        <v>926</v>
      </c>
      <c r="C629" s="38">
        <v>44819.0</v>
      </c>
      <c r="D629" s="37">
        <v>51.0</v>
      </c>
      <c r="E629" s="37">
        <v>757.0</v>
      </c>
      <c r="F629" s="37">
        <v>66.69</v>
      </c>
      <c r="G629" s="39">
        <v>6780.91</v>
      </c>
      <c r="H629" s="37" t="s">
        <v>927</v>
      </c>
      <c r="I629" s="52" t="s">
        <v>38</v>
      </c>
      <c r="J629" s="37" t="str">
        <f t="shared" si="4"/>
        <v>No</v>
      </c>
      <c r="K629" s="35"/>
      <c r="L629" s="35"/>
      <c r="M629" s="35"/>
      <c r="N629" s="4"/>
      <c r="O629" s="4"/>
      <c r="P629" s="50"/>
      <c r="Q629" s="50"/>
      <c r="R629" s="50"/>
      <c r="S629" s="51"/>
      <c r="T629" s="4"/>
      <c r="U629" s="4"/>
    </row>
    <row r="630" ht="18.0" customHeight="1">
      <c r="A630" s="35"/>
      <c r="B630" s="37" t="s">
        <v>928</v>
      </c>
      <c r="C630" s="38">
        <v>44625.0</v>
      </c>
      <c r="D630" s="37">
        <v>52.0</v>
      </c>
      <c r="E630" s="37">
        <v>922.0</v>
      </c>
      <c r="F630" s="37">
        <v>178.27</v>
      </c>
      <c r="G630" s="39">
        <v>5763.5</v>
      </c>
      <c r="H630" s="37" t="s">
        <v>929</v>
      </c>
      <c r="I630" s="52" t="s">
        <v>42</v>
      </c>
      <c r="J630" s="37" t="str">
        <f t="shared" si="4"/>
        <v>No</v>
      </c>
      <c r="K630" s="35"/>
      <c r="L630" s="35"/>
      <c r="M630" s="35"/>
      <c r="N630" s="4"/>
      <c r="O630" s="4"/>
      <c r="P630" s="50"/>
      <c r="Q630" s="50"/>
      <c r="R630" s="50"/>
      <c r="S630" s="51"/>
      <c r="T630" s="4"/>
      <c r="U630" s="4"/>
    </row>
    <row r="631" ht="18.0" customHeight="1">
      <c r="A631" s="35"/>
      <c r="B631" s="37" t="s">
        <v>930</v>
      </c>
      <c r="C631" s="38">
        <v>44701.0</v>
      </c>
      <c r="D631" s="37">
        <v>84.0</v>
      </c>
      <c r="E631" s="37">
        <v>955.0</v>
      </c>
      <c r="F631" s="37">
        <v>96.78</v>
      </c>
      <c r="G631" s="39">
        <v>5199.06</v>
      </c>
      <c r="H631" s="37" t="s">
        <v>931</v>
      </c>
      <c r="I631" s="52" t="s">
        <v>38</v>
      </c>
      <c r="J631" s="37" t="str">
        <f t="shared" si="4"/>
        <v>No</v>
      </c>
      <c r="K631" s="35"/>
      <c r="L631" s="35"/>
      <c r="M631" s="35"/>
      <c r="N631" s="4"/>
      <c r="O631" s="4"/>
      <c r="P631" s="50"/>
      <c r="Q631" s="50"/>
      <c r="R631" s="50"/>
      <c r="S631" s="51"/>
      <c r="T631" s="4"/>
      <c r="U631" s="4"/>
    </row>
    <row r="632" ht="18.0" customHeight="1">
      <c r="A632" s="35"/>
      <c r="B632" s="37" t="s">
        <v>932</v>
      </c>
      <c r="C632" s="38">
        <v>44723.0</v>
      </c>
      <c r="D632" s="37">
        <v>85.0</v>
      </c>
      <c r="E632" s="37">
        <v>404.0</v>
      </c>
      <c r="F632" s="37">
        <v>160.4</v>
      </c>
      <c r="G632" s="39">
        <v>6123.6</v>
      </c>
      <c r="H632" s="37" t="s">
        <v>933</v>
      </c>
      <c r="I632" s="52" t="s">
        <v>42</v>
      </c>
      <c r="J632" s="37" t="str">
        <f t="shared" si="4"/>
        <v>No</v>
      </c>
      <c r="K632" s="35"/>
      <c r="L632" s="35"/>
      <c r="M632" s="35"/>
      <c r="N632" s="4"/>
      <c r="O632" s="4"/>
      <c r="P632" s="50"/>
      <c r="Q632" s="50"/>
      <c r="R632" s="50"/>
      <c r="S632" s="51"/>
      <c r="T632" s="4"/>
      <c r="U632" s="4"/>
    </row>
    <row r="633" ht="18.0" customHeight="1">
      <c r="A633" s="35"/>
      <c r="B633" s="37" t="s">
        <v>934</v>
      </c>
      <c r="C633" s="38">
        <v>44629.0</v>
      </c>
      <c r="D633" s="37">
        <v>54.0</v>
      </c>
      <c r="E633" s="37">
        <v>771.0</v>
      </c>
      <c r="F633" s="37">
        <v>152.88</v>
      </c>
      <c r="G633" s="39">
        <v>7156.27</v>
      </c>
      <c r="H633" s="37" t="s">
        <v>87</v>
      </c>
      <c r="I633" s="52" t="s">
        <v>50</v>
      </c>
      <c r="J633" s="37" t="str">
        <f t="shared" si="4"/>
        <v>No</v>
      </c>
      <c r="K633" s="35"/>
      <c r="L633" s="35"/>
      <c r="M633" s="35"/>
      <c r="N633" s="4"/>
      <c r="O633" s="4"/>
      <c r="P633" s="50"/>
      <c r="Q633" s="50"/>
      <c r="R633" s="50"/>
      <c r="S633" s="51"/>
      <c r="T633" s="4"/>
      <c r="U633" s="4"/>
    </row>
    <row r="634" ht="18.0" customHeight="1">
      <c r="A634" s="35"/>
      <c r="B634" s="37" t="s">
        <v>935</v>
      </c>
      <c r="C634" s="38">
        <v>44803.0</v>
      </c>
      <c r="D634" s="37">
        <v>4.0</v>
      </c>
      <c r="E634" s="37">
        <v>222.0</v>
      </c>
      <c r="F634" s="37">
        <v>56.41</v>
      </c>
      <c r="G634" s="39">
        <v>8505.49</v>
      </c>
      <c r="H634" s="37" t="s">
        <v>37</v>
      </c>
      <c r="I634" s="52" t="s">
        <v>50</v>
      </c>
      <c r="J634" s="37" t="str">
        <f t="shared" si="4"/>
        <v>No</v>
      </c>
      <c r="K634" s="35"/>
      <c r="L634" s="35"/>
      <c r="M634" s="35"/>
      <c r="N634" s="4"/>
      <c r="O634" s="4"/>
      <c r="P634" s="50"/>
      <c r="Q634" s="50"/>
      <c r="R634" s="50"/>
      <c r="S634" s="51"/>
      <c r="T634" s="4"/>
      <c r="U634" s="4"/>
    </row>
    <row r="635" ht="18.0" customHeight="1">
      <c r="A635" s="35"/>
      <c r="B635" s="37" t="s">
        <v>936</v>
      </c>
      <c r="C635" s="38">
        <v>44644.0</v>
      </c>
      <c r="D635" s="37">
        <v>28.0</v>
      </c>
      <c r="E635" s="37">
        <v>635.0</v>
      </c>
      <c r="F635" s="37">
        <v>196.83</v>
      </c>
      <c r="G635" s="39">
        <v>6002.16</v>
      </c>
      <c r="H635" s="37" t="s">
        <v>41</v>
      </c>
      <c r="I635" s="52" t="s">
        <v>42</v>
      </c>
      <c r="J635" s="37" t="str">
        <f t="shared" si="4"/>
        <v>No</v>
      </c>
      <c r="K635" s="35"/>
      <c r="L635" s="35"/>
      <c r="M635" s="35"/>
      <c r="N635" s="4"/>
      <c r="O635" s="4"/>
      <c r="P635" s="50"/>
      <c r="Q635" s="50"/>
      <c r="R635" s="50"/>
      <c r="S635" s="51"/>
      <c r="T635" s="4"/>
      <c r="U635" s="4"/>
    </row>
    <row r="636" ht="18.0" customHeight="1">
      <c r="A636" s="35"/>
      <c r="B636" s="37" t="s">
        <v>937</v>
      </c>
      <c r="C636" s="38">
        <v>44763.0</v>
      </c>
      <c r="D636" s="37">
        <v>49.0</v>
      </c>
      <c r="E636" s="37">
        <v>844.0</v>
      </c>
      <c r="F636" s="37">
        <v>237.29</v>
      </c>
      <c r="G636" s="39">
        <v>8919.93</v>
      </c>
      <c r="H636" s="37" t="s">
        <v>45</v>
      </c>
      <c r="I636" s="52" t="s">
        <v>50</v>
      </c>
      <c r="J636" s="37" t="str">
        <f t="shared" si="4"/>
        <v>No</v>
      </c>
      <c r="K636" s="35"/>
      <c r="L636" s="35"/>
      <c r="M636" s="35"/>
      <c r="N636" s="4"/>
      <c r="O636" s="4"/>
      <c r="P636" s="50"/>
      <c r="Q636" s="50"/>
      <c r="R636" s="50"/>
      <c r="S636" s="51"/>
      <c r="T636" s="4"/>
      <c r="U636" s="4"/>
    </row>
    <row r="637" ht="18.0" customHeight="1">
      <c r="A637" s="35"/>
      <c r="B637" s="37" t="s">
        <v>938</v>
      </c>
      <c r="C637" s="38">
        <v>44623.0</v>
      </c>
      <c r="D637" s="37">
        <v>99.0</v>
      </c>
      <c r="E637" s="37">
        <v>692.0</v>
      </c>
      <c r="F637" s="37">
        <v>203.29</v>
      </c>
      <c r="G637" s="39">
        <v>1691.65</v>
      </c>
      <c r="H637" s="37" t="s">
        <v>49</v>
      </c>
      <c r="I637" s="52" t="s">
        <v>50</v>
      </c>
      <c r="J637" s="37" t="str">
        <f t="shared" si="4"/>
        <v>No</v>
      </c>
      <c r="K637" s="35"/>
      <c r="L637" s="35"/>
      <c r="M637" s="35"/>
      <c r="N637" s="4"/>
      <c r="O637" s="4"/>
      <c r="P637" s="50"/>
      <c r="Q637" s="50"/>
      <c r="R637" s="50"/>
      <c r="S637" s="51"/>
      <c r="T637" s="4"/>
      <c r="U637" s="4"/>
    </row>
    <row r="638" ht="18.0" customHeight="1">
      <c r="A638" s="35"/>
      <c r="B638" s="37" t="s">
        <v>939</v>
      </c>
      <c r="C638" s="38">
        <v>44843.0</v>
      </c>
      <c r="D638" s="37">
        <v>62.0</v>
      </c>
      <c r="E638" s="37">
        <v>247.0</v>
      </c>
      <c r="F638" s="37">
        <v>237.11</v>
      </c>
      <c r="G638" s="39">
        <v>8040.64</v>
      </c>
      <c r="H638" s="37" t="s">
        <v>53</v>
      </c>
      <c r="I638" s="52" t="s">
        <v>50</v>
      </c>
      <c r="J638" s="37" t="str">
        <f t="shared" si="4"/>
        <v>No</v>
      </c>
      <c r="K638" s="35"/>
      <c r="L638" s="35"/>
      <c r="M638" s="35"/>
      <c r="N638" s="4"/>
      <c r="O638" s="4"/>
      <c r="P638" s="50"/>
      <c r="Q638" s="50"/>
      <c r="R638" s="50"/>
      <c r="S638" s="51"/>
      <c r="T638" s="4"/>
      <c r="U638" s="4"/>
    </row>
    <row r="639" ht="18.0" customHeight="1">
      <c r="A639" s="35"/>
      <c r="B639" s="37" t="s">
        <v>940</v>
      </c>
      <c r="C639" s="38">
        <v>44629.0</v>
      </c>
      <c r="D639" s="37">
        <v>85.0</v>
      </c>
      <c r="E639" s="37">
        <v>45.0</v>
      </c>
      <c r="F639" s="37">
        <v>91.44</v>
      </c>
      <c r="G639" s="39">
        <v>6013.89</v>
      </c>
      <c r="H639" s="37" t="s">
        <v>56</v>
      </c>
      <c r="I639" s="52" t="s">
        <v>42</v>
      </c>
      <c r="J639" s="37" t="str">
        <f t="shared" si="4"/>
        <v>No</v>
      </c>
      <c r="K639" s="35"/>
      <c r="L639" s="35"/>
      <c r="M639" s="35"/>
      <c r="N639" s="4"/>
      <c r="O639" s="4"/>
      <c r="P639" s="50"/>
      <c r="Q639" s="50"/>
      <c r="R639" s="50"/>
      <c r="S639" s="51"/>
      <c r="T639" s="4"/>
      <c r="U639" s="4"/>
    </row>
    <row r="640" ht="18.0" customHeight="1">
      <c r="A640" s="35"/>
      <c r="B640" s="37" t="s">
        <v>941</v>
      </c>
      <c r="C640" s="38">
        <v>44724.0</v>
      </c>
      <c r="D640" s="37">
        <v>40.0</v>
      </c>
      <c r="E640" s="37">
        <v>530.0</v>
      </c>
      <c r="F640" s="37">
        <v>195.26</v>
      </c>
      <c r="G640" s="39">
        <v>5277.66</v>
      </c>
      <c r="H640" s="37" t="s">
        <v>59</v>
      </c>
      <c r="I640" s="52" t="s">
        <v>38</v>
      </c>
      <c r="J640" s="37" t="str">
        <f t="shared" si="4"/>
        <v>No</v>
      </c>
      <c r="K640" s="35"/>
      <c r="L640" s="35"/>
      <c r="M640" s="35"/>
      <c r="N640" s="4"/>
      <c r="O640" s="4"/>
      <c r="P640" s="50"/>
      <c r="Q640" s="50"/>
      <c r="R640" s="50"/>
      <c r="S640" s="51"/>
      <c r="T640" s="4"/>
      <c r="U640" s="4"/>
    </row>
    <row r="641" ht="18.0" customHeight="1">
      <c r="A641" s="35"/>
      <c r="B641" s="37" t="s">
        <v>36</v>
      </c>
      <c r="C641" s="38">
        <v>44598.0</v>
      </c>
      <c r="D641" s="37">
        <v>35.0</v>
      </c>
      <c r="E641" s="37">
        <v>477.0</v>
      </c>
      <c r="F641" s="37">
        <v>79.19</v>
      </c>
      <c r="G641" s="39">
        <v>1825.16</v>
      </c>
      <c r="H641" s="37" t="s">
        <v>61</v>
      </c>
      <c r="I641" s="52" t="s">
        <v>42</v>
      </c>
      <c r="J641" s="37" t="str">
        <f t="shared" si="4"/>
        <v>No</v>
      </c>
      <c r="K641" s="35"/>
      <c r="L641" s="35"/>
      <c r="M641" s="35"/>
      <c r="N641" s="4"/>
      <c r="O641" s="4"/>
      <c r="P641" s="50"/>
      <c r="Q641" s="50"/>
      <c r="R641" s="50"/>
      <c r="S641" s="51"/>
      <c r="T641" s="4"/>
      <c r="U641" s="4"/>
    </row>
    <row r="642" ht="18.0" customHeight="1">
      <c r="A642" s="35"/>
      <c r="B642" s="37" t="s">
        <v>942</v>
      </c>
      <c r="C642" s="38">
        <v>44922.0</v>
      </c>
      <c r="D642" s="37">
        <v>25.0</v>
      </c>
      <c r="E642" s="37">
        <v>576.0</v>
      </c>
      <c r="F642" s="37">
        <v>162.93</v>
      </c>
      <c r="G642" s="39">
        <v>2865.63</v>
      </c>
      <c r="H642" s="37" t="s">
        <v>63</v>
      </c>
      <c r="I642" s="52" t="s">
        <v>42</v>
      </c>
      <c r="J642" s="37" t="str">
        <f t="shared" si="4"/>
        <v>No</v>
      </c>
      <c r="K642" s="35"/>
      <c r="L642" s="35"/>
      <c r="M642" s="35"/>
      <c r="N642" s="4"/>
      <c r="O642" s="4"/>
      <c r="P642" s="50"/>
      <c r="Q642" s="50"/>
      <c r="R642" s="50"/>
      <c r="S642" s="51"/>
      <c r="T642" s="4"/>
      <c r="U642" s="4"/>
    </row>
    <row r="643" ht="18.0" customHeight="1">
      <c r="A643" s="35"/>
      <c r="B643" s="37" t="s">
        <v>943</v>
      </c>
      <c r="C643" s="38">
        <v>44800.0</v>
      </c>
      <c r="D643" s="37">
        <v>99.0</v>
      </c>
      <c r="E643" s="37">
        <v>700.0</v>
      </c>
      <c r="F643" s="37">
        <v>96.16</v>
      </c>
      <c r="G643" s="39">
        <v>6424.24</v>
      </c>
      <c r="H643" s="37" t="s">
        <v>66</v>
      </c>
      <c r="I643" s="52" t="s">
        <v>38</v>
      </c>
      <c r="J643" s="37" t="str">
        <f t="shared" si="4"/>
        <v>No</v>
      </c>
      <c r="K643" s="35"/>
      <c r="L643" s="35"/>
      <c r="M643" s="35"/>
      <c r="N643" s="4"/>
      <c r="O643" s="4"/>
      <c r="P643" s="50"/>
      <c r="Q643" s="50"/>
      <c r="R643" s="50"/>
      <c r="S643" s="51"/>
      <c r="T643" s="4"/>
      <c r="U643" s="4"/>
    </row>
    <row r="644" ht="18.0" customHeight="1">
      <c r="A644" s="35"/>
      <c r="B644" s="37" t="s">
        <v>944</v>
      </c>
      <c r="C644" s="38">
        <v>44748.0</v>
      </c>
      <c r="D644" s="37">
        <v>30.0</v>
      </c>
      <c r="E644" s="37">
        <v>612.0</v>
      </c>
      <c r="F644" s="37">
        <v>204.57</v>
      </c>
      <c r="G644" s="39">
        <v>1659.47</v>
      </c>
      <c r="H644" s="37" t="s">
        <v>68</v>
      </c>
      <c r="I644" s="52" t="s">
        <v>42</v>
      </c>
      <c r="J644" s="37" t="str">
        <f t="shared" si="4"/>
        <v>No</v>
      </c>
      <c r="K644" s="35"/>
      <c r="L644" s="35"/>
      <c r="M644" s="35"/>
      <c r="N644" s="4"/>
      <c r="O644" s="4"/>
      <c r="P644" s="50"/>
      <c r="Q644" s="50"/>
      <c r="R644" s="50"/>
      <c r="S644" s="51"/>
      <c r="T644" s="4"/>
      <c r="U644" s="4"/>
    </row>
    <row r="645" ht="18.0" customHeight="1">
      <c r="A645" s="35"/>
      <c r="B645" s="37" t="s">
        <v>945</v>
      </c>
      <c r="C645" s="38">
        <v>44924.0</v>
      </c>
      <c r="D645" s="37">
        <v>48.0</v>
      </c>
      <c r="E645" s="37">
        <v>378.0</v>
      </c>
      <c r="F645" s="37">
        <v>124.48</v>
      </c>
      <c r="G645" s="39">
        <v>9186.72</v>
      </c>
      <c r="H645" s="37" t="s">
        <v>71</v>
      </c>
      <c r="I645" s="52" t="s">
        <v>38</v>
      </c>
      <c r="J645" s="37" t="str">
        <f t="shared" si="4"/>
        <v>No</v>
      </c>
      <c r="K645" s="35"/>
      <c r="L645" s="35"/>
      <c r="M645" s="35"/>
      <c r="N645" s="4"/>
      <c r="O645" s="4"/>
      <c r="P645" s="50"/>
      <c r="Q645" s="50"/>
      <c r="R645" s="50"/>
      <c r="S645" s="51"/>
      <c r="T645" s="4"/>
      <c r="U645" s="4"/>
    </row>
    <row r="646" ht="18.0" customHeight="1">
      <c r="A646" s="35"/>
      <c r="B646" s="37" t="s">
        <v>946</v>
      </c>
      <c r="C646" s="38">
        <v>44678.0</v>
      </c>
      <c r="D646" s="37">
        <v>45.0</v>
      </c>
      <c r="E646" s="37">
        <v>497.0</v>
      </c>
      <c r="F646" s="37">
        <v>235.32</v>
      </c>
      <c r="G646" s="39">
        <v>932.01</v>
      </c>
      <c r="H646" s="37" t="s">
        <v>947</v>
      </c>
      <c r="I646" s="52" t="s">
        <v>42</v>
      </c>
      <c r="J646" s="37" t="str">
        <f t="shared" si="4"/>
        <v>No</v>
      </c>
      <c r="K646" s="35"/>
      <c r="L646" s="35"/>
      <c r="M646" s="35"/>
      <c r="N646" s="4"/>
      <c r="O646" s="4"/>
      <c r="P646" s="50"/>
      <c r="Q646" s="50"/>
      <c r="R646" s="50"/>
      <c r="S646" s="51"/>
      <c r="T646" s="4"/>
      <c r="U646" s="4"/>
    </row>
    <row r="647" ht="18.0" customHeight="1">
      <c r="A647" s="35"/>
      <c r="B647" s="37" t="s">
        <v>948</v>
      </c>
      <c r="C647" s="38">
        <v>44808.0</v>
      </c>
      <c r="D647" s="37">
        <v>30.0</v>
      </c>
      <c r="E647" s="37">
        <v>802.0</v>
      </c>
      <c r="F647" s="37">
        <v>213.58</v>
      </c>
      <c r="G647" s="39">
        <v>1498.64</v>
      </c>
      <c r="H647" s="37" t="s">
        <v>949</v>
      </c>
      <c r="I647" s="52" t="s">
        <v>50</v>
      </c>
      <c r="J647" s="37" t="str">
        <f t="shared" si="4"/>
        <v>No</v>
      </c>
      <c r="K647" s="35"/>
      <c r="L647" s="35"/>
      <c r="M647" s="35"/>
      <c r="N647" s="4"/>
      <c r="O647" s="4"/>
      <c r="P647" s="50"/>
      <c r="Q647" s="50"/>
      <c r="R647" s="50"/>
      <c r="S647" s="51"/>
      <c r="T647" s="4"/>
      <c r="U647" s="4"/>
    </row>
    <row r="648" ht="18.0" customHeight="1">
      <c r="A648" s="35"/>
      <c r="B648" s="37" t="s">
        <v>950</v>
      </c>
      <c r="C648" s="38">
        <v>44832.0</v>
      </c>
      <c r="D648" s="37">
        <v>47.0</v>
      </c>
      <c r="E648" s="37">
        <v>425.0</v>
      </c>
      <c r="F648" s="37">
        <v>165.13</v>
      </c>
      <c r="G648" s="39">
        <v>1117.57</v>
      </c>
      <c r="H648" s="37" t="s">
        <v>951</v>
      </c>
      <c r="I648" s="52" t="s">
        <v>38</v>
      </c>
      <c r="J648" s="37" t="str">
        <f t="shared" si="4"/>
        <v>No</v>
      </c>
      <c r="K648" s="35"/>
      <c r="L648" s="35"/>
      <c r="M648" s="35"/>
      <c r="N648" s="4"/>
      <c r="O648" s="4"/>
      <c r="P648" s="50"/>
      <c r="Q648" s="50"/>
      <c r="R648" s="50"/>
      <c r="S648" s="51"/>
      <c r="T648" s="4"/>
      <c r="U648" s="4"/>
    </row>
    <row r="649" ht="18.0" customHeight="1">
      <c r="A649" s="35"/>
      <c r="B649" s="37" t="s">
        <v>952</v>
      </c>
      <c r="C649" s="38">
        <v>44720.0</v>
      </c>
      <c r="D649" s="37">
        <v>45.0</v>
      </c>
      <c r="E649" s="37">
        <v>375.0</v>
      </c>
      <c r="F649" s="37">
        <v>103.75</v>
      </c>
      <c r="G649" s="39">
        <v>7445.43</v>
      </c>
      <c r="H649" s="37" t="s">
        <v>921</v>
      </c>
      <c r="I649" s="52" t="s">
        <v>38</v>
      </c>
      <c r="J649" s="37" t="str">
        <f t="shared" si="4"/>
        <v>No</v>
      </c>
      <c r="K649" s="35"/>
      <c r="L649" s="35"/>
      <c r="M649" s="35"/>
      <c r="N649" s="4"/>
      <c r="O649" s="4"/>
      <c r="P649" s="50"/>
      <c r="Q649" s="50"/>
      <c r="R649" s="50"/>
      <c r="S649" s="51"/>
      <c r="T649" s="4"/>
      <c r="U649" s="4"/>
    </row>
    <row r="650" ht="18.0" customHeight="1">
      <c r="A650" s="35"/>
      <c r="B650" s="37" t="s">
        <v>953</v>
      </c>
      <c r="C650" s="38">
        <v>44780.0</v>
      </c>
      <c r="D650" s="37">
        <v>90.0</v>
      </c>
      <c r="E650" s="37">
        <v>800.0</v>
      </c>
      <c r="F650" s="37">
        <v>227.11</v>
      </c>
      <c r="G650" s="39">
        <v>5604.88</v>
      </c>
      <c r="H650" s="37" t="s">
        <v>954</v>
      </c>
      <c r="I650" s="52" t="s">
        <v>50</v>
      </c>
      <c r="J650" s="37" t="str">
        <f t="shared" si="4"/>
        <v>No</v>
      </c>
      <c r="K650" s="35"/>
      <c r="L650" s="35"/>
      <c r="M650" s="35"/>
      <c r="N650" s="4"/>
      <c r="O650" s="4"/>
      <c r="P650" s="50"/>
      <c r="Q650" s="50"/>
      <c r="R650" s="50"/>
      <c r="S650" s="51"/>
      <c r="T650" s="4"/>
      <c r="U650" s="4"/>
    </row>
    <row r="651" ht="18.0" customHeight="1">
      <c r="A651" s="35"/>
      <c r="B651" s="37" t="s">
        <v>955</v>
      </c>
      <c r="C651" s="38">
        <v>44868.0</v>
      </c>
      <c r="D651" s="37">
        <v>59.0</v>
      </c>
      <c r="E651" s="37">
        <v>848.0</v>
      </c>
      <c r="F651" s="37">
        <v>110.42</v>
      </c>
      <c r="G651" s="39">
        <v>6380.94</v>
      </c>
      <c r="H651" s="37" t="s">
        <v>956</v>
      </c>
      <c r="I651" s="52" t="s">
        <v>42</v>
      </c>
      <c r="J651" s="37" t="str">
        <f t="shared" si="4"/>
        <v>No</v>
      </c>
      <c r="K651" s="35"/>
      <c r="L651" s="35"/>
      <c r="M651" s="35"/>
      <c r="N651" s="4"/>
      <c r="O651" s="4"/>
      <c r="P651" s="50"/>
      <c r="Q651" s="50"/>
      <c r="R651" s="50"/>
      <c r="S651" s="51"/>
      <c r="T651" s="4"/>
      <c r="U651" s="4"/>
    </row>
    <row r="652" ht="18.0" customHeight="1">
      <c r="A652" s="35"/>
      <c r="B652" s="37" t="s">
        <v>957</v>
      </c>
      <c r="C652" s="38">
        <v>44772.0</v>
      </c>
      <c r="D652" s="37">
        <v>16.0</v>
      </c>
      <c r="E652" s="37">
        <v>938.0</v>
      </c>
      <c r="F652" s="37">
        <v>58.16</v>
      </c>
      <c r="G652" s="39">
        <v>2682.49</v>
      </c>
      <c r="H652" s="37" t="s">
        <v>87</v>
      </c>
      <c r="I652" s="52" t="s">
        <v>42</v>
      </c>
      <c r="J652" s="37" t="str">
        <f t="shared" si="4"/>
        <v>No</v>
      </c>
      <c r="K652" s="35"/>
      <c r="L652" s="35"/>
      <c r="M652" s="35"/>
      <c r="N652" s="4"/>
      <c r="O652" s="4"/>
      <c r="P652" s="50"/>
      <c r="Q652" s="50"/>
      <c r="R652" s="50"/>
      <c r="S652" s="51"/>
      <c r="T652" s="4"/>
      <c r="U652" s="4"/>
    </row>
    <row r="653" ht="18.0" customHeight="1">
      <c r="A653" s="35"/>
      <c r="B653" s="37" t="s">
        <v>40</v>
      </c>
      <c r="C653" s="38">
        <v>44919.0</v>
      </c>
      <c r="D653" s="37">
        <v>89.0</v>
      </c>
      <c r="E653" s="37">
        <v>846.0</v>
      </c>
      <c r="F653" s="37">
        <v>17.32</v>
      </c>
      <c r="G653" s="39">
        <v>5302.43</v>
      </c>
      <c r="H653" s="37" t="s">
        <v>37</v>
      </c>
      <c r="I653" s="52" t="s">
        <v>38</v>
      </c>
      <c r="J653" s="37" t="str">
        <f t="shared" si="4"/>
        <v>No</v>
      </c>
      <c r="K653" s="35"/>
      <c r="L653" s="35"/>
      <c r="M653" s="35"/>
      <c r="N653" s="4"/>
      <c r="O653" s="4"/>
      <c r="P653" s="50"/>
      <c r="Q653" s="50"/>
      <c r="R653" s="50"/>
      <c r="S653" s="51"/>
      <c r="T653" s="4"/>
      <c r="U653" s="4"/>
    </row>
    <row r="654" ht="18.0" customHeight="1">
      <c r="A654" s="35"/>
      <c r="B654" s="37" t="s">
        <v>958</v>
      </c>
      <c r="C654" s="38">
        <v>44673.0</v>
      </c>
      <c r="D654" s="37">
        <v>63.0</v>
      </c>
      <c r="E654" s="37">
        <v>607.0</v>
      </c>
      <c r="F654" s="37">
        <v>45.27</v>
      </c>
      <c r="G654" s="39">
        <v>2101.11</v>
      </c>
      <c r="H654" s="37" t="s">
        <v>41</v>
      </c>
      <c r="I654" s="52" t="s">
        <v>38</v>
      </c>
      <c r="J654" s="37" t="str">
        <f t="shared" si="4"/>
        <v>No</v>
      </c>
      <c r="K654" s="35"/>
      <c r="L654" s="35"/>
      <c r="M654" s="35"/>
      <c r="N654" s="4"/>
      <c r="O654" s="4"/>
      <c r="P654" s="50"/>
      <c r="Q654" s="50"/>
      <c r="R654" s="50"/>
      <c r="S654" s="51"/>
      <c r="T654" s="4"/>
      <c r="U654" s="4"/>
    </row>
    <row r="655" ht="18.0" customHeight="1">
      <c r="A655" s="35"/>
      <c r="B655" s="37" t="s">
        <v>959</v>
      </c>
      <c r="C655" s="38">
        <v>44787.0</v>
      </c>
      <c r="D655" s="37">
        <v>47.0</v>
      </c>
      <c r="E655" s="37">
        <v>572.0</v>
      </c>
      <c r="F655" s="37">
        <v>57.43</v>
      </c>
      <c r="G655" s="39">
        <v>1450.57</v>
      </c>
      <c r="H655" s="37" t="s">
        <v>45</v>
      </c>
      <c r="I655" s="52" t="s">
        <v>42</v>
      </c>
      <c r="J655" s="37" t="str">
        <f t="shared" si="4"/>
        <v>No</v>
      </c>
      <c r="K655" s="35"/>
      <c r="L655" s="35"/>
      <c r="M655" s="35"/>
      <c r="N655" s="4"/>
      <c r="O655" s="4"/>
      <c r="P655" s="50"/>
      <c r="Q655" s="50"/>
      <c r="R655" s="50"/>
      <c r="S655" s="51"/>
      <c r="T655" s="4"/>
      <c r="U655" s="4"/>
    </row>
    <row r="656" ht="18.0" customHeight="1">
      <c r="A656" s="35"/>
      <c r="B656" s="37" t="s">
        <v>960</v>
      </c>
      <c r="C656" s="38">
        <v>44753.0</v>
      </c>
      <c r="D656" s="37">
        <v>35.0</v>
      </c>
      <c r="E656" s="37">
        <v>482.0</v>
      </c>
      <c r="F656" s="37">
        <v>58.38</v>
      </c>
      <c r="G656" s="39">
        <v>6820.73</v>
      </c>
      <c r="H656" s="37" t="s">
        <v>49</v>
      </c>
      <c r="I656" s="52" t="s">
        <v>42</v>
      </c>
      <c r="J656" s="37" t="str">
        <f t="shared" si="4"/>
        <v>No</v>
      </c>
      <c r="K656" s="35"/>
      <c r="L656" s="35"/>
      <c r="M656" s="35"/>
      <c r="N656" s="4"/>
      <c r="O656" s="4"/>
      <c r="P656" s="50"/>
      <c r="Q656" s="50"/>
      <c r="R656" s="50"/>
      <c r="S656" s="51"/>
      <c r="T656" s="4"/>
      <c r="U656" s="4"/>
    </row>
    <row r="657" ht="18.0" customHeight="1">
      <c r="A657" s="35"/>
      <c r="B657" s="37" t="s">
        <v>961</v>
      </c>
      <c r="C657" s="38">
        <v>44902.0</v>
      </c>
      <c r="D657" s="37">
        <v>78.0</v>
      </c>
      <c r="E657" s="37">
        <v>489.0</v>
      </c>
      <c r="F657" s="37">
        <v>216.02</v>
      </c>
      <c r="G657" s="39">
        <v>8920.96</v>
      </c>
      <c r="H657" s="37" t="s">
        <v>53</v>
      </c>
      <c r="I657" s="52" t="s">
        <v>38</v>
      </c>
      <c r="J657" s="37" t="str">
        <f t="shared" si="4"/>
        <v>Yes</v>
      </c>
      <c r="K657" s="35"/>
      <c r="L657" s="35"/>
      <c r="M657" s="35"/>
      <c r="N657" s="4"/>
      <c r="O657" s="4"/>
      <c r="P657" s="50"/>
      <c r="Q657" s="50"/>
      <c r="R657" s="50"/>
      <c r="S657" s="51"/>
      <c r="T657" s="4"/>
      <c r="U657" s="4"/>
    </row>
    <row r="658" ht="18.0" customHeight="1">
      <c r="A658" s="35"/>
      <c r="B658" s="37" t="s">
        <v>962</v>
      </c>
      <c r="C658" s="38">
        <v>44726.0</v>
      </c>
      <c r="D658" s="37">
        <v>46.0</v>
      </c>
      <c r="E658" s="37">
        <v>95.0</v>
      </c>
      <c r="F658" s="37">
        <v>205.01</v>
      </c>
      <c r="G658" s="39">
        <v>6787.82</v>
      </c>
      <c r="H658" s="37" t="s">
        <v>56</v>
      </c>
      <c r="I658" s="52" t="s">
        <v>50</v>
      </c>
      <c r="J658" s="37" t="str">
        <f t="shared" si="4"/>
        <v>No</v>
      </c>
      <c r="K658" s="35"/>
      <c r="L658" s="35"/>
      <c r="M658" s="35"/>
      <c r="N658" s="4"/>
      <c r="O658" s="4"/>
      <c r="P658" s="50"/>
      <c r="Q658" s="50"/>
      <c r="R658" s="50"/>
      <c r="S658" s="51"/>
      <c r="T658" s="4"/>
      <c r="U658" s="4"/>
    </row>
    <row r="659" ht="18.0" customHeight="1">
      <c r="A659" s="35"/>
      <c r="B659" s="37" t="s">
        <v>963</v>
      </c>
      <c r="C659" s="38">
        <v>44787.0</v>
      </c>
      <c r="D659" s="37">
        <v>18.0</v>
      </c>
      <c r="E659" s="37">
        <v>472.0</v>
      </c>
      <c r="F659" s="37">
        <v>134.67</v>
      </c>
      <c r="G659" s="39">
        <v>4348.89</v>
      </c>
      <c r="H659" s="37" t="s">
        <v>59</v>
      </c>
      <c r="I659" s="52" t="s">
        <v>42</v>
      </c>
      <c r="J659" s="37" t="str">
        <f t="shared" si="4"/>
        <v>No</v>
      </c>
      <c r="K659" s="35"/>
      <c r="L659" s="35"/>
      <c r="M659" s="35"/>
      <c r="N659" s="4"/>
      <c r="O659" s="4"/>
      <c r="P659" s="50"/>
      <c r="Q659" s="50"/>
      <c r="R659" s="50"/>
      <c r="S659" s="51"/>
      <c r="T659" s="4"/>
      <c r="U659" s="4"/>
    </row>
    <row r="660" ht="18.0" customHeight="1">
      <c r="A660" s="35"/>
      <c r="B660" s="37" t="s">
        <v>964</v>
      </c>
      <c r="C660" s="38">
        <v>44834.0</v>
      </c>
      <c r="D660" s="37">
        <v>28.0</v>
      </c>
      <c r="E660" s="37">
        <v>843.0</v>
      </c>
      <c r="F660" s="37">
        <v>205.02</v>
      </c>
      <c r="G660" s="39">
        <v>7920.83</v>
      </c>
      <c r="H660" s="37" t="s">
        <v>61</v>
      </c>
      <c r="I660" s="52" t="s">
        <v>50</v>
      </c>
      <c r="J660" s="37" t="str">
        <f t="shared" si="4"/>
        <v>No</v>
      </c>
      <c r="K660" s="35"/>
      <c r="L660" s="35"/>
      <c r="M660" s="35"/>
      <c r="N660" s="4"/>
      <c r="O660" s="4"/>
      <c r="P660" s="50"/>
      <c r="Q660" s="50"/>
      <c r="R660" s="50"/>
      <c r="S660" s="51"/>
      <c r="T660" s="4"/>
      <c r="U660" s="4"/>
    </row>
    <row r="661" ht="18.0" customHeight="1">
      <c r="A661" s="35"/>
      <c r="B661" s="37" t="s">
        <v>965</v>
      </c>
      <c r="C661" s="38">
        <v>44644.0</v>
      </c>
      <c r="D661" s="37">
        <v>7.0</v>
      </c>
      <c r="E661" s="37">
        <v>32.0</v>
      </c>
      <c r="F661" s="37">
        <v>111.38</v>
      </c>
      <c r="G661" s="39">
        <v>9822.79</v>
      </c>
      <c r="H661" s="37" t="s">
        <v>63</v>
      </c>
      <c r="I661" s="52" t="s">
        <v>50</v>
      </c>
      <c r="J661" s="37" t="str">
        <f t="shared" si="4"/>
        <v>No</v>
      </c>
      <c r="K661" s="35"/>
      <c r="L661" s="35"/>
      <c r="M661" s="35"/>
      <c r="N661" s="4"/>
      <c r="O661" s="4"/>
      <c r="P661" s="50"/>
      <c r="Q661" s="50"/>
      <c r="R661" s="50"/>
      <c r="S661" s="51"/>
      <c r="T661" s="4"/>
      <c r="U661" s="4"/>
    </row>
    <row r="662" ht="18.0" customHeight="1">
      <c r="A662" s="35"/>
      <c r="B662" s="37" t="s">
        <v>966</v>
      </c>
      <c r="C662" s="38">
        <v>44754.0</v>
      </c>
      <c r="D662" s="37">
        <v>75.0</v>
      </c>
      <c r="E662" s="37">
        <v>741.0</v>
      </c>
      <c r="F662" s="37">
        <v>94.27</v>
      </c>
      <c r="G662" s="39">
        <v>3403.66</v>
      </c>
      <c r="H662" s="37" t="s">
        <v>66</v>
      </c>
      <c r="I662" s="52" t="s">
        <v>42</v>
      </c>
      <c r="J662" s="37" t="str">
        <f t="shared" si="4"/>
        <v>No</v>
      </c>
      <c r="K662" s="35"/>
      <c r="L662" s="35"/>
      <c r="M662" s="35"/>
      <c r="N662" s="4"/>
      <c r="O662" s="4"/>
      <c r="P662" s="50"/>
      <c r="Q662" s="50"/>
      <c r="R662" s="50"/>
      <c r="S662" s="51"/>
      <c r="T662" s="4"/>
      <c r="U662" s="4"/>
    </row>
    <row r="663" ht="18.0" customHeight="1">
      <c r="A663" s="35"/>
      <c r="B663" s="37" t="s">
        <v>967</v>
      </c>
      <c r="C663" s="38">
        <v>44838.0</v>
      </c>
      <c r="D663" s="37">
        <v>74.0</v>
      </c>
      <c r="E663" s="37">
        <v>493.0</v>
      </c>
      <c r="F663" s="37">
        <v>21.11</v>
      </c>
      <c r="G663" s="39">
        <v>5804.89</v>
      </c>
      <c r="H663" s="37" t="s">
        <v>68</v>
      </c>
      <c r="I663" s="52" t="s">
        <v>42</v>
      </c>
      <c r="J663" s="37" t="str">
        <f t="shared" si="4"/>
        <v>No</v>
      </c>
      <c r="K663" s="35"/>
      <c r="L663" s="35"/>
      <c r="M663" s="35"/>
      <c r="N663" s="4"/>
      <c r="O663" s="4"/>
      <c r="P663" s="50"/>
      <c r="Q663" s="50"/>
      <c r="R663" s="50"/>
      <c r="S663" s="51"/>
      <c r="T663" s="4"/>
      <c r="U663" s="4"/>
    </row>
    <row r="664" ht="18.0" customHeight="1">
      <c r="A664" s="35"/>
      <c r="B664" s="37" t="s">
        <v>968</v>
      </c>
      <c r="C664" s="38">
        <v>44915.0</v>
      </c>
      <c r="D664" s="37">
        <v>96.0</v>
      </c>
      <c r="E664" s="37">
        <v>685.0</v>
      </c>
      <c r="F664" s="37">
        <v>111.41</v>
      </c>
      <c r="G664" s="39">
        <v>1270.69</v>
      </c>
      <c r="H664" s="37" t="s">
        <v>71</v>
      </c>
      <c r="I664" s="52" t="s">
        <v>38</v>
      </c>
      <c r="J664" s="37" t="str">
        <f t="shared" si="4"/>
        <v>No</v>
      </c>
      <c r="K664" s="35"/>
      <c r="L664" s="35"/>
      <c r="M664" s="35"/>
      <c r="N664" s="4"/>
      <c r="O664" s="4"/>
      <c r="P664" s="50"/>
      <c r="Q664" s="50"/>
      <c r="R664" s="50"/>
      <c r="S664" s="51"/>
      <c r="T664" s="4"/>
      <c r="U664" s="4"/>
    </row>
    <row r="665" ht="18.0" customHeight="1">
      <c r="A665" s="35"/>
      <c r="B665" s="37" t="s">
        <v>969</v>
      </c>
      <c r="C665" s="38">
        <v>44849.0</v>
      </c>
      <c r="D665" s="37">
        <v>80.0</v>
      </c>
      <c r="E665" s="37">
        <v>366.0</v>
      </c>
      <c r="F665" s="37">
        <v>209.09</v>
      </c>
      <c r="G665" s="39">
        <v>3826.73</v>
      </c>
      <c r="H665" s="37" t="s">
        <v>970</v>
      </c>
      <c r="I665" s="52" t="s">
        <v>42</v>
      </c>
      <c r="J665" s="37" t="str">
        <f t="shared" si="4"/>
        <v>No</v>
      </c>
      <c r="K665" s="35"/>
      <c r="L665" s="35"/>
      <c r="M665" s="35"/>
      <c r="N665" s="4"/>
      <c r="O665" s="4"/>
      <c r="P665" s="50"/>
      <c r="Q665" s="50"/>
      <c r="R665" s="50"/>
      <c r="S665" s="51"/>
      <c r="T665" s="4"/>
      <c r="U665" s="4"/>
    </row>
    <row r="666" ht="18.0" customHeight="1">
      <c r="A666" s="35"/>
      <c r="B666" s="37" t="s">
        <v>971</v>
      </c>
      <c r="C666" s="38">
        <v>44795.0</v>
      </c>
      <c r="D666" s="37">
        <v>99.0</v>
      </c>
      <c r="E666" s="37">
        <v>369.0</v>
      </c>
      <c r="F666" s="37">
        <v>163.23</v>
      </c>
      <c r="G666" s="39">
        <v>1330.6</v>
      </c>
      <c r="H666" s="37" t="s">
        <v>972</v>
      </c>
      <c r="I666" s="52" t="s">
        <v>42</v>
      </c>
      <c r="J666" s="37" t="str">
        <f t="shared" si="4"/>
        <v>No</v>
      </c>
      <c r="K666" s="35"/>
      <c r="L666" s="35"/>
      <c r="M666" s="35"/>
      <c r="N666" s="4"/>
      <c r="O666" s="4"/>
      <c r="P666" s="50"/>
      <c r="Q666" s="50"/>
      <c r="R666" s="50"/>
      <c r="S666" s="51"/>
      <c r="T666" s="4"/>
      <c r="U666" s="4"/>
    </row>
    <row r="667" ht="18.0" customHeight="1">
      <c r="A667" s="35"/>
      <c r="B667" s="37" t="s">
        <v>973</v>
      </c>
      <c r="C667" s="38">
        <v>44674.0</v>
      </c>
      <c r="D667" s="37">
        <v>52.0</v>
      </c>
      <c r="E667" s="37">
        <v>539.0</v>
      </c>
      <c r="F667" s="37">
        <v>206.97</v>
      </c>
      <c r="G667" s="39">
        <v>3404.63</v>
      </c>
      <c r="H667" s="37" t="s">
        <v>974</v>
      </c>
      <c r="I667" s="52" t="s">
        <v>38</v>
      </c>
      <c r="J667" s="37" t="str">
        <f t="shared" si="4"/>
        <v>No</v>
      </c>
      <c r="K667" s="35"/>
      <c r="L667" s="35"/>
      <c r="M667" s="35"/>
      <c r="N667" s="4"/>
      <c r="O667" s="4"/>
      <c r="P667" s="50"/>
      <c r="Q667" s="50"/>
      <c r="R667" s="50"/>
      <c r="S667" s="51"/>
      <c r="T667" s="4"/>
      <c r="U667" s="4"/>
    </row>
    <row r="668" ht="18.0" customHeight="1">
      <c r="A668" s="35"/>
      <c r="B668" s="37" t="s">
        <v>975</v>
      </c>
      <c r="C668" s="38">
        <v>44636.0</v>
      </c>
      <c r="D668" s="37">
        <v>48.0</v>
      </c>
      <c r="E668" s="37">
        <v>13.0</v>
      </c>
      <c r="F668" s="37">
        <v>249.82</v>
      </c>
      <c r="G668" s="39">
        <v>1569.02</v>
      </c>
      <c r="H668" s="37" t="s">
        <v>976</v>
      </c>
      <c r="I668" s="52" t="s">
        <v>38</v>
      </c>
      <c r="J668" s="37" t="str">
        <f t="shared" si="4"/>
        <v>No</v>
      </c>
      <c r="K668" s="35"/>
      <c r="L668" s="35"/>
      <c r="M668" s="35"/>
      <c r="N668" s="4"/>
      <c r="O668" s="4"/>
      <c r="P668" s="50"/>
      <c r="Q668" s="50"/>
      <c r="R668" s="50"/>
      <c r="S668" s="51"/>
      <c r="T668" s="4"/>
      <c r="U668" s="4"/>
    </row>
    <row r="669" ht="18.0" customHeight="1">
      <c r="A669" s="35"/>
      <c r="B669" s="37" t="s">
        <v>977</v>
      </c>
      <c r="C669" s="38">
        <v>44834.0</v>
      </c>
      <c r="D669" s="37">
        <v>50.0</v>
      </c>
      <c r="E669" s="37">
        <v>32.0</v>
      </c>
      <c r="F669" s="37">
        <v>18.64</v>
      </c>
      <c r="G669" s="39">
        <v>8609.06</v>
      </c>
      <c r="H669" s="37" t="s">
        <v>978</v>
      </c>
      <c r="I669" s="52" t="s">
        <v>50</v>
      </c>
      <c r="J669" s="37" t="str">
        <f t="shared" si="4"/>
        <v>No</v>
      </c>
      <c r="K669" s="35"/>
      <c r="L669" s="35"/>
      <c r="M669" s="35"/>
      <c r="N669" s="4"/>
      <c r="O669" s="4"/>
      <c r="P669" s="50"/>
      <c r="Q669" s="50"/>
      <c r="R669" s="50"/>
      <c r="S669" s="51"/>
      <c r="T669" s="4"/>
      <c r="U669" s="4"/>
    </row>
    <row r="670" ht="18.0" customHeight="1">
      <c r="A670" s="35"/>
      <c r="B670" s="37" t="s">
        <v>21</v>
      </c>
      <c r="C670" s="38">
        <v>44580.0</v>
      </c>
      <c r="D670" s="37">
        <v>77.0</v>
      </c>
      <c r="E670" s="37">
        <v>152.0</v>
      </c>
      <c r="F670" s="37">
        <v>119.11</v>
      </c>
      <c r="G670" s="39">
        <v>5576.78</v>
      </c>
      <c r="H670" s="37" t="s">
        <v>979</v>
      </c>
      <c r="I670" s="52" t="s">
        <v>50</v>
      </c>
      <c r="J670" s="37" t="str">
        <f t="shared" si="4"/>
        <v>No</v>
      </c>
      <c r="K670" s="35"/>
      <c r="L670" s="35"/>
      <c r="M670" s="35"/>
      <c r="N670" s="4"/>
      <c r="O670" s="4"/>
      <c r="P670" s="50"/>
      <c r="Q670" s="50"/>
      <c r="R670" s="50"/>
      <c r="S670" s="51"/>
      <c r="T670" s="4"/>
      <c r="U670" s="4"/>
    </row>
    <row r="671" ht="18.0" customHeight="1">
      <c r="A671" s="35"/>
      <c r="B671" s="37" t="s">
        <v>980</v>
      </c>
      <c r="C671" s="38">
        <v>44809.0</v>
      </c>
      <c r="D671" s="37">
        <v>95.0</v>
      </c>
      <c r="E671" s="37">
        <v>362.0</v>
      </c>
      <c r="F671" s="37">
        <v>33.5</v>
      </c>
      <c r="G671" s="39">
        <v>2846.8</v>
      </c>
      <c r="H671" s="37" t="s">
        <v>87</v>
      </c>
      <c r="I671" s="52" t="s">
        <v>38</v>
      </c>
      <c r="J671" s="37" t="str">
        <f t="shared" si="4"/>
        <v>No</v>
      </c>
      <c r="K671" s="35"/>
      <c r="L671" s="35"/>
      <c r="M671" s="35"/>
      <c r="N671" s="4"/>
      <c r="O671" s="4"/>
      <c r="P671" s="50"/>
      <c r="Q671" s="50"/>
      <c r="R671" s="50"/>
      <c r="S671" s="51"/>
      <c r="T671" s="4"/>
      <c r="U671" s="4"/>
    </row>
    <row r="672" ht="18.0" customHeight="1">
      <c r="A672" s="35"/>
      <c r="B672" s="37" t="s">
        <v>981</v>
      </c>
      <c r="C672" s="38">
        <v>44904.0</v>
      </c>
      <c r="D672" s="37">
        <v>39.0</v>
      </c>
      <c r="E672" s="37">
        <v>317.0</v>
      </c>
      <c r="F672" s="37">
        <v>235.39</v>
      </c>
      <c r="G672" s="39">
        <v>7590.7</v>
      </c>
      <c r="H672" s="37" t="s">
        <v>37</v>
      </c>
      <c r="I672" s="52" t="s">
        <v>42</v>
      </c>
      <c r="J672" s="37" t="str">
        <f t="shared" si="4"/>
        <v>No</v>
      </c>
      <c r="K672" s="35"/>
      <c r="L672" s="35"/>
      <c r="M672" s="35"/>
      <c r="N672" s="4"/>
      <c r="O672" s="4"/>
      <c r="P672" s="50"/>
      <c r="Q672" s="50"/>
      <c r="R672" s="50"/>
      <c r="S672" s="51"/>
      <c r="T672" s="4"/>
      <c r="U672" s="4"/>
    </row>
    <row r="673" ht="18.0" customHeight="1">
      <c r="A673" s="35"/>
      <c r="B673" s="37" t="s">
        <v>982</v>
      </c>
      <c r="C673" s="38">
        <v>44840.0</v>
      </c>
      <c r="D673" s="37">
        <v>92.0</v>
      </c>
      <c r="E673" s="37">
        <v>878.0</v>
      </c>
      <c r="F673" s="37">
        <v>249.77</v>
      </c>
      <c r="G673" s="39">
        <v>275.44</v>
      </c>
      <c r="H673" s="37" t="s">
        <v>41</v>
      </c>
      <c r="I673" s="52" t="s">
        <v>42</v>
      </c>
      <c r="J673" s="37" t="str">
        <f t="shared" si="4"/>
        <v>Yes</v>
      </c>
      <c r="K673" s="35"/>
      <c r="L673" s="35"/>
      <c r="M673" s="35"/>
      <c r="N673" s="4"/>
      <c r="O673" s="4"/>
      <c r="P673" s="50"/>
      <c r="Q673" s="50"/>
      <c r="R673" s="50"/>
      <c r="S673" s="51"/>
      <c r="T673" s="4"/>
      <c r="U673" s="4"/>
    </row>
    <row r="674" ht="18.0" customHeight="1">
      <c r="A674" s="35"/>
      <c r="B674" s="37" t="s">
        <v>983</v>
      </c>
      <c r="C674" s="38">
        <v>44853.0</v>
      </c>
      <c r="D674" s="37">
        <v>55.0</v>
      </c>
      <c r="E674" s="37">
        <v>705.0</v>
      </c>
      <c r="F674" s="37">
        <v>21.4</v>
      </c>
      <c r="G674" s="39">
        <v>1257.08</v>
      </c>
      <c r="H674" s="37" t="s">
        <v>45</v>
      </c>
      <c r="I674" s="52" t="s">
        <v>38</v>
      </c>
      <c r="J674" s="37" t="str">
        <f t="shared" si="4"/>
        <v>No</v>
      </c>
      <c r="K674" s="35"/>
      <c r="L674" s="35"/>
      <c r="M674" s="35"/>
      <c r="N674" s="4"/>
      <c r="O674" s="4"/>
      <c r="P674" s="50"/>
      <c r="Q674" s="50"/>
      <c r="R674" s="50"/>
      <c r="S674" s="51"/>
      <c r="T674" s="4"/>
      <c r="U674" s="4"/>
    </row>
    <row r="675" ht="18.0" customHeight="1">
      <c r="A675" s="35"/>
      <c r="B675" s="37" t="s">
        <v>984</v>
      </c>
      <c r="C675" s="38">
        <v>44872.0</v>
      </c>
      <c r="D675" s="37">
        <v>43.0</v>
      </c>
      <c r="E675" s="37">
        <v>466.0</v>
      </c>
      <c r="F675" s="37">
        <v>243.02</v>
      </c>
      <c r="G675" s="39">
        <v>2836.7</v>
      </c>
      <c r="H675" s="37" t="s">
        <v>49</v>
      </c>
      <c r="I675" s="52" t="s">
        <v>42</v>
      </c>
      <c r="J675" s="37" t="str">
        <f t="shared" si="4"/>
        <v>No</v>
      </c>
      <c r="K675" s="35"/>
      <c r="L675" s="35"/>
      <c r="M675" s="35"/>
      <c r="N675" s="4"/>
      <c r="O675" s="4"/>
      <c r="P675" s="50"/>
      <c r="Q675" s="50"/>
      <c r="R675" s="50"/>
      <c r="S675" s="51"/>
      <c r="T675" s="4"/>
      <c r="U675" s="4"/>
    </row>
    <row r="676" ht="18.0" customHeight="1">
      <c r="A676" s="35"/>
      <c r="B676" s="37" t="s">
        <v>985</v>
      </c>
      <c r="C676" s="38">
        <v>44601.0</v>
      </c>
      <c r="D676" s="37">
        <v>18.0</v>
      </c>
      <c r="E676" s="37">
        <v>97.0</v>
      </c>
      <c r="F676" s="37">
        <v>237.62</v>
      </c>
      <c r="G676" s="39">
        <v>8199.04</v>
      </c>
      <c r="H676" s="37" t="s">
        <v>53</v>
      </c>
      <c r="I676" s="52" t="s">
        <v>42</v>
      </c>
      <c r="J676" s="37" t="str">
        <f t="shared" si="4"/>
        <v>No</v>
      </c>
      <c r="K676" s="35"/>
      <c r="L676" s="35"/>
      <c r="M676" s="35"/>
      <c r="N676" s="4"/>
      <c r="O676" s="4"/>
      <c r="P676" s="50"/>
      <c r="Q676" s="50"/>
      <c r="R676" s="50"/>
      <c r="S676" s="51"/>
      <c r="T676" s="4"/>
      <c r="U676" s="4"/>
    </row>
    <row r="677" ht="18.0" customHeight="1">
      <c r="A677" s="35"/>
      <c r="B677" s="37" t="s">
        <v>986</v>
      </c>
      <c r="C677" s="38">
        <v>44703.0</v>
      </c>
      <c r="D677" s="37">
        <v>73.0</v>
      </c>
      <c r="E677" s="37">
        <v>666.0</v>
      </c>
      <c r="F677" s="37">
        <v>169.4</v>
      </c>
      <c r="G677" s="39">
        <v>4698.77</v>
      </c>
      <c r="H677" s="37" t="s">
        <v>56</v>
      </c>
      <c r="I677" s="52" t="s">
        <v>50</v>
      </c>
      <c r="J677" s="37" t="str">
        <f t="shared" si="4"/>
        <v>No</v>
      </c>
      <c r="K677" s="35"/>
      <c r="L677" s="35"/>
      <c r="M677" s="35"/>
      <c r="N677" s="4"/>
      <c r="O677" s="4"/>
      <c r="P677" s="50"/>
      <c r="Q677" s="50"/>
      <c r="R677" s="50"/>
      <c r="S677" s="51"/>
      <c r="T677" s="4"/>
      <c r="U677" s="4"/>
    </row>
    <row r="678" ht="18.0" customHeight="1">
      <c r="A678" s="35"/>
      <c r="B678" s="37" t="s">
        <v>987</v>
      </c>
      <c r="C678" s="38">
        <v>44568.0</v>
      </c>
      <c r="D678" s="37">
        <v>74.0</v>
      </c>
      <c r="E678" s="37">
        <v>964.0</v>
      </c>
      <c r="F678" s="37">
        <v>0.71</v>
      </c>
      <c r="G678" s="39">
        <v>5301.76</v>
      </c>
      <c r="H678" s="37" t="s">
        <v>59</v>
      </c>
      <c r="I678" s="52" t="s">
        <v>50</v>
      </c>
      <c r="J678" s="37" t="str">
        <f t="shared" si="4"/>
        <v>No</v>
      </c>
      <c r="K678" s="35"/>
      <c r="L678" s="35"/>
      <c r="M678" s="35"/>
      <c r="N678" s="4"/>
      <c r="O678" s="4"/>
      <c r="P678" s="50"/>
      <c r="Q678" s="50"/>
      <c r="R678" s="50"/>
      <c r="S678" s="51"/>
      <c r="T678" s="4"/>
      <c r="U678" s="4"/>
    </row>
    <row r="679" ht="18.0" customHeight="1">
      <c r="A679" s="35"/>
      <c r="B679" s="37" t="s">
        <v>988</v>
      </c>
      <c r="C679" s="38">
        <v>44722.0</v>
      </c>
      <c r="D679" s="37">
        <v>86.0</v>
      </c>
      <c r="E679" s="37">
        <v>923.0</v>
      </c>
      <c r="F679" s="37">
        <v>155.0</v>
      </c>
      <c r="G679" s="39">
        <v>7704.66</v>
      </c>
      <c r="H679" s="37" t="s">
        <v>61</v>
      </c>
      <c r="I679" s="52" t="s">
        <v>42</v>
      </c>
      <c r="J679" s="37" t="str">
        <f t="shared" si="4"/>
        <v>No</v>
      </c>
      <c r="K679" s="35"/>
      <c r="L679" s="35"/>
      <c r="M679" s="35"/>
      <c r="N679" s="4"/>
      <c r="O679" s="4"/>
      <c r="P679" s="50"/>
      <c r="Q679" s="50"/>
      <c r="R679" s="50"/>
      <c r="S679" s="51"/>
      <c r="T679" s="4"/>
      <c r="U679" s="4"/>
    </row>
    <row r="680" ht="18.0" customHeight="1">
      <c r="A680" s="35"/>
      <c r="B680" s="37" t="s">
        <v>989</v>
      </c>
      <c r="C680" s="38">
        <v>44702.0</v>
      </c>
      <c r="D680" s="37">
        <v>91.0</v>
      </c>
      <c r="E680" s="37">
        <v>448.0</v>
      </c>
      <c r="F680" s="37">
        <v>1.18</v>
      </c>
      <c r="G680" s="39">
        <v>3410.78</v>
      </c>
      <c r="H680" s="37" t="s">
        <v>63</v>
      </c>
      <c r="I680" s="52" t="s">
        <v>50</v>
      </c>
      <c r="J680" s="37" t="str">
        <f t="shared" si="4"/>
        <v>No</v>
      </c>
      <c r="K680" s="35"/>
      <c r="L680" s="35"/>
      <c r="M680" s="35"/>
      <c r="N680" s="4"/>
      <c r="O680" s="4"/>
      <c r="P680" s="50"/>
      <c r="Q680" s="50"/>
      <c r="R680" s="50"/>
      <c r="S680" s="51"/>
      <c r="T680" s="4"/>
      <c r="U680" s="4"/>
    </row>
    <row r="681" ht="18.0" customHeight="1">
      <c r="A681" s="35"/>
      <c r="B681" s="37" t="s">
        <v>990</v>
      </c>
      <c r="C681" s="38">
        <v>44718.0</v>
      </c>
      <c r="D681" s="37">
        <v>6.0</v>
      </c>
      <c r="E681" s="37">
        <v>913.0</v>
      </c>
      <c r="F681" s="37">
        <v>218.19</v>
      </c>
      <c r="G681" s="39">
        <v>4344.65</v>
      </c>
      <c r="H681" s="37" t="s">
        <v>66</v>
      </c>
      <c r="I681" s="52" t="s">
        <v>50</v>
      </c>
      <c r="J681" s="37" t="str">
        <f t="shared" si="4"/>
        <v>No</v>
      </c>
      <c r="K681" s="35"/>
      <c r="L681" s="35"/>
      <c r="M681" s="35"/>
      <c r="N681" s="4"/>
      <c r="O681" s="4"/>
      <c r="P681" s="50"/>
      <c r="Q681" s="50"/>
      <c r="R681" s="50"/>
      <c r="S681" s="51"/>
      <c r="T681" s="4"/>
      <c r="U681" s="4"/>
    </row>
    <row r="682" ht="18.0" customHeight="1">
      <c r="A682" s="35"/>
      <c r="B682" s="37" t="s">
        <v>991</v>
      </c>
      <c r="C682" s="38">
        <v>44605.0</v>
      </c>
      <c r="D682" s="37">
        <v>55.0</v>
      </c>
      <c r="E682" s="37">
        <v>530.0</v>
      </c>
      <c r="F682" s="37">
        <v>13.66</v>
      </c>
      <c r="G682" s="39">
        <v>6016.81</v>
      </c>
      <c r="H682" s="37" t="s">
        <v>68</v>
      </c>
      <c r="I682" s="52" t="s">
        <v>42</v>
      </c>
      <c r="J682" s="37" t="str">
        <f t="shared" si="4"/>
        <v>No</v>
      </c>
      <c r="K682" s="35"/>
      <c r="L682" s="35"/>
      <c r="M682" s="35"/>
      <c r="N682" s="4"/>
      <c r="O682" s="4"/>
      <c r="P682" s="50"/>
      <c r="Q682" s="50"/>
      <c r="R682" s="50"/>
      <c r="S682" s="51"/>
      <c r="T682" s="4"/>
      <c r="U682" s="4"/>
    </row>
    <row r="683" ht="18.0" customHeight="1">
      <c r="A683" s="35"/>
      <c r="B683" s="37" t="s">
        <v>992</v>
      </c>
      <c r="C683" s="38">
        <v>44884.0</v>
      </c>
      <c r="D683" s="37">
        <v>92.0</v>
      </c>
      <c r="E683" s="37">
        <v>552.0</v>
      </c>
      <c r="F683" s="37">
        <v>122.33</v>
      </c>
      <c r="G683" s="39">
        <v>2090.1</v>
      </c>
      <c r="H683" s="37" t="s">
        <v>71</v>
      </c>
      <c r="I683" s="52" t="s">
        <v>38</v>
      </c>
      <c r="J683" s="37" t="str">
        <f t="shared" si="4"/>
        <v>Yes</v>
      </c>
      <c r="K683" s="35"/>
      <c r="L683" s="35"/>
      <c r="M683" s="35"/>
      <c r="N683" s="4"/>
      <c r="O683" s="4"/>
      <c r="P683" s="50"/>
      <c r="Q683" s="50"/>
      <c r="R683" s="50"/>
      <c r="S683" s="51"/>
      <c r="T683" s="4"/>
      <c r="U683" s="4"/>
    </row>
    <row r="684" ht="18.0" customHeight="1">
      <c r="A684" s="35"/>
      <c r="B684" s="37" t="s">
        <v>993</v>
      </c>
      <c r="C684" s="38">
        <v>44870.0</v>
      </c>
      <c r="D684" s="37">
        <v>98.0</v>
      </c>
      <c r="E684" s="37">
        <v>667.0</v>
      </c>
      <c r="F684" s="37">
        <v>215.28</v>
      </c>
      <c r="G684" s="39">
        <v>672.21</v>
      </c>
      <c r="H684" s="37" t="s">
        <v>994</v>
      </c>
      <c r="I684" s="52" t="s">
        <v>50</v>
      </c>
      <c r="J684" s="37" t="str">
        <f t="shared" si="4"/>
        <v>No</v>
      </c>
      <c r="K684" s="35"/>
      <c r="L684" s="35"/>
      <c r="M684" s="35"/>
      <c r="N684" s="4"/>
      <c r="O684" s="4"/>
      <c r="P684" s="50"/>
      <c r="Q684" s="50"/>
      <c r="R684" s="50"/>
      <c r="S684" s="51"/>
      <c r="T684" s="4"/>
      <c r="U684" s="4"/>
    </row>
    <row r="685" ht="18.0" customHeight="1">
      <c r="A685" s="35"/>
      <c r="B685" s="37" t="s">
        <v>995</v>
      </c>
      <c r="C685" s="38">
        <v>44635.0</v>
      </c>
      <c r="D685" s="37">
        <v>80.0</v>
      </c>
      <c r="E685" s="37">
        <v>37.0</v>
      </c>
      <c r="F685" s="37">
        <v>134.74</v>
      </c>
      <c r="G685" s="39">
        <v>7370.75</v>
      </c>
      <c r="H685" s="37" t="s">
        <v>996</v>
      </c>
      <c r="I685" s="52" t="s">
        <v>50</v>
      </c>
      <c r="J685" s="37" t="str">
        <f t="shared" si="4"/>
        <v>No</v>
      </c>
      <c r="K685" s="35"/>
      <c r="L685" s="35"/>
      <c r="M685" s="35"/>
      <c r="N685" s="4"/>
      <c r="O685" s="4"/>
      <c r="P685" s="50"/>
      <c r="Q685" s="50"/>
      <c r="R685" s="50"/>
      <c r="S685" s="51"/>
      <c r="T685" s="4"/>
      <c r="U685" s="4"/>
    </row>
    <row r="686" ht="18.0" customHeight="1">
      <c r="A686" s="35"/>
      <c r="B686" s="37" t="s">
        <v>997</v>
      </c>
      <c r="C686" s="38">
        <v>44696.0</v>
      </c>
      <c r="D686" s="37">
        <v>60.0</v>
      </c>
      <c r="E686" s="37">
        <v>90.0</v>
      </c>
      <c r="F686" s="37">
        <v>185.92</v>
      </c>
      <c r="G686" s="39">
        <v>1886.05</v>
      </c>
      <c r="H686" s="37" t="s">
        <v>998</v>
      </c>
      <c r="I686" s="52" t="s">
        <v>38</v>
      </c>
      <c r="J686" s="37" t="str">
        <f t="shared" si="4"/>
        <v>No</v>
      </c>
      <c r="K686" s="35"/>
      <c r="L686" s="35"/>
      <c r="M686" s="35"/>
      <c r="N686" s="4"/>
      <c r="O686" s="4"/>
      <c r="P686" s="50"/>
      <c r="Q686" s="50"/>
      <c r="R686" s="50"/>
      <c r="S686" s="51"/>
      <c r="T686" s="4"/>
      <c r="U686" s="4"/>
    </row>
    <row r="687" ht="18.0" customHeight="1">
      <c r="A687" s="35"/>
      <c r="B687" s="37" t="s">
        <v>999</v>
      </c>
      <c r="C687" s="38">
        <v>44810.0</v>
      </c>
      <c r="D687" s="37">
        <v>82.0</v>
      </c>
      <c r="E687" s="37">
        <v>727.0</v>
      </c>
      <c r="F687" s="37">
        <v>207.09</v>
      </c>
      <c r="G687" s="39">
        <v>6267.8</v>
      </c>
      <c r="H687" s="37" t="s">
        <v>1000</v>
      </c>
      <c r="I687" s="52" t="s">
        <v>50</v>
      </c>
      <c r="J687" s="37" t="str">
        <f t="shared" si="4"/>
        <v>No</v>
      </c>
      <c r="K687" s="35"/>
      <c r="L687" s="35"/>
      <c r="M687" s="35"/>
      <c r="N687" s="4"/>
      <c r="O687" s="4"/>
      <c r="P687" s="50"/>
      <c r="Q687" s="50"/>
      <c r="R687" s="50"/>
      <c r="S687" s="51"/>
      <c r="T687" s="4"/>
      <c r="U687" s="4"/>
    </row>
    <row r="688" ht="18.0" customHeight="1">
      <c r="A688" s="35"/>
      <c r="B688" s="37" t="s">
        <v>1001</v>
      </c>
      <c r="C688" s="38">
        <v>44841.0</v>
      </c>
      <c r="D688" s="37">
        <v>84.0</v>
      </c>
      <c r="E688" s="37">
        <v>602.0</v>
      </c>
      <c r="F688" s="37">
        <v>169.88</v>
      </c>
      <c r="G688" s="39">
        <v>651.59</v>
      </c>
      <c r="H688" s="37" t="s">
        <v>1002</v>
      </c>
      <c r="I688" s="52" t="s">
        <v>50</v>
      </c>
      <c r="J688" s="37" t="str">
        <f t="shared" si="4"/>
        <v>No</v>
      </c>
      <c r="K688" s="35"/>
      <c r="L688" s="35"/>
      <c r="M688" s="35"/>
      <c r="N688" s="4"/>
      <c r="O688" s="4"/>
      <c r="P688" s="50"/>
      <c r="Q688" s="50"/>
      <c r="R688" s="50"/>
      <c r="S688" s="51"/>
      <c r="T688" s="4"/>
      <c r="U688" s="4"/>
    </row>
    <row r="689" ht="18.0" customHeight="1">
      <c r="A689" s="35"/>
      <c r="B689" s="37" t="s">
        <v>1003</v>
      </c>
      <c r="C689" s="38">
        <v>44784.0</v>
      </c>
      <c r="D689" s="37">
        <v>82.0</v>
      </c>
      <c r="E689" s="37">
        <v>330.0</v>
      </c>
      <c r="F689" s="37">
        <v>139.97</v>
      </c>
      <c r="G689" s="39">
        <v>5130.77</v>
      </c>
      <c r="H689" s="37" t="s">
        <v>1004</v>
      </c>
      <c r="I689" s="52" t="s">
        <v>50</v>
      </c>
      <c r="J689" s="37" t="str">
        <f t="shared" si="4"/>
        <v>No</v>
      </c>
      <c r="K689" s="35"/>
      <c r="L689" s="35"/>
      <c r="M689" s="35"/>
      <c r="N689" s="4"/>
      <c r="O689" s="4"/>
      <c r="P689" s="50"/>
      <c r="Q689" s="50"/>
      <c r="R689" s="50"/>
      <c r="S689" s="51"/>
      <c r="T689" s="4"/>
      <c r="U689" s="4"/>
    </row>
    <row r="690" ht="18.0" customHeight="1">
      <c r="A690" s="35"/>
      <c r="B690" s="37" t="s">
        <v>1005</v>
      </c>
      <c r="C690" s="38">
        <v>44911.0</v>
      </c>
      <c r="D690" s="37">
        <v>98.0</v>
      </c>
      <c r="E690" s="37">
        <v>906.0</v>
      </c>
      <c r="F690" s="37">
        <v>38.9</v>
      </c>
      <c r="G690" s="39">
        <v>251.47</v>
      </c>
      <c r="H690" s="37" t="s">
        <v>87</v>
      </c>
      <c r="I690" s="52" t="s">
        <v>42</v>
      </c>
      <c r="J690" s="37" t="str">
        <f t="shared" si="4"/>
        <v>No</v>
      </c>
      <c r="K690" s="35"/>
      <c r="L690" s="35"/>
      <c r="M690" s="35"/>
      <c r="N690" s="4"/>
      <c r="O690" s="4"/>
      <c r="P690" s="50"/>
      <c r="Q690" s="50"/>
      <c r="R690" s="50"/>
      <c r="S690" s="51"/>
      <c r="T690" s="4"/>
      <c r="U690" s="4"/>
    </row>
    <row r="691" ht="18.0" customHeight="1">
      <c r="A691" s="35"/>
      <c r="B691" s="37" t="s">
        <v>1006</v>
      </c>
      <c r="C691" s="38">
        <v>44884.0</v>
      </c>
      <c r="D691" s="37">
        <v>2.0</v>
      </c>
      <c r="E691" s="37">
        <v>712.0</v>
      </c>
      <c r="F691" s="37">
        <v>83.87</v>
      </c>
      <c r="G691" s="39">
        <v>6102.08</v>
      </c>
      <c r="H691" s="37" t="s">
        <v>37</v>
      </c>
      <c r="I691" s="52" t="s">
        <v>38</v>
      </c>
      <c r="J691" s="37" t="str">
        <f t="shared" si="4"/>
        <v>No</v>
      </c>
      <c r="K691" s="35"/>
      <c r="L691" s="35"/>
      <c r="M691" s="35"/>
      <c r="N691" s="4"/>
      <c r="O691" s="4"/>
      <c r="P691" s="50"/>
      <c r="Q691" s="50"/>
      <c r="R691" s="50"/>
      <c r="S691" s="51"/>
      <c r="T691" s="4"/>
      <c r="U691" s="4"/>
    </row>
    <row r="692" ht="18.0" customHeight="1">
      <c r="A692" s="35"/>
      <c r="B692" s="37" t="s">
        <v>1007</v>
      </c>
      <c r="C692" s="38">
        <v>44809.0</v>
      </c>
      <c r="D692" s="37">
        <v>76.0</v>
      </c>
      <c r="E692" s="37">
        <v>878.0</v>
      </c>
      <c r="F692" s="37">
        <v>195.8</v>
      </c>
      <c r="G692" s="39">
        <v>9756.54</v>
      </c>
      <c r="H692" s="37" t="s">
        <v>41</v>
      </c>
      <c r="I692" s="52" t="s">
        <v>42</v>
      </c>
      <c r="J692" s="37" t="str">
        <f t="shared" si="4"/>
        <v>No</v>
      </c>
      <c r="K692" s="35"/>
      <c r="L692" s="35"/>
      <c r="M692" s="35"/>
      <c r="N692" s="4"/>
      <c r="O692" s="4"/>
      <c r="P692" s="50"/>
      <c r="Q692" s="50"/>
      <c r="R692" s="50"/>
      <c r="S692" s="51"/>
      <c r="T692" s="4"/>
      <c r="U692" s="4"/>
    </row>
    <row r="693" ht="18.0" customHeight="1">
      <c r="A693" s="35"/>
      <c r="B693" s="37" t="s">
        <v>1008</v>
      </c>
      <c r="C693" s="38">
        <v>44738.0</v>
      </c>
      <c r="D693" s="37">
        <v>87.0</v>
      </c>
      <c r="E693" s="37">
        <v>298.0</v>
      </c>
      <c r="F693" s="37">
        <v>229.83</v>
      </c>
      <c r="G693" s="39">
        <v>928.9</v>
      </c>
      <c r="H693" s="37" t="s">
        <v>45</v>
      </c>
      <c r="I693" s="52" t="s">
        <v>50</v>
      </c>
      <c r="J693" s="37" t="str">
        <f t="shared" si="4"/>
        <v>No</v>
      </c>
      <c r="K693" s="35"/>
      <c r="L693" s="35"/>
      <c r="M693" s="35"/>
      <c r="N693" s="4"/>
      <c r="O693" s="4"/>
      <c r="P693" s="50"/>
      <c r="Q693" s="50"/>
      <c r="R693" s="50"/>
      <c r="S693" s="51"/>
      <c r="T693" s="4"/>
      <c r="U693" s="4"/>
    </row>
    <row r="694" ht="18.0" customHeight="1">
      <c r="A694" s="35"/>
      <c r="B694" s="37" t="s">
        <v>1009</v>
      </c>
      <c r="C694" s="38">
        <v>44828.0</v>
      </c>
      <c r="D694" s="37">
        <v>45.0</v>
      </c>
      <c r="E694" s="37">
        <v>977.0</v>
      </c>
      <c r="F694" s="37">
        <v>71.31</v>
      </c>
      <c r="G694" s="39">
        <v>8155.41</v>
      </c>
      <c r="H694" s="37" t="s">
        <v>49</v>
      </c>
      <c r="I694" s="52" t="s">
        <v>42</v>
      </c>
      <c r="J694" s="37" t="str">
        <f t="shared" si="4"/>
        <v>No</v>
      </c>
      <c r="K694" s="35"/>
      <c r="L694" s="35"/>
      <c r="M694" s="35"/>
      <c r="N694" s="4"/>
      <c r="O694" s="4"/>
      <c r="P694" s="50"/>
      <c r="Q694" s="50"/>
      <c r="R694" s="50"/>
      <c r="S694" s="51"/>
      <c r="T694" s="4"/>
      <c r="U694" s="4"/>
    </row>
    <row r="695" ht="18.0" customHeight="1">
      <c r="A695" s="35"/>
      <c r="B695" s="37" t="s">
        <v>1010</v>
      </c>
      <c r="C695" s="38">
        <v>44581.0</v>
      </c>
      <c r="D695" s="37">
        <v>94.0</v>
      </c>
      <c r="E695" s="37">
        <v>227.0</v>
      </c>
      <c r="F695" s="37">
        <v>124.04</v>
      </c>
      <c r="G695" s="39">
        <v>3151.8</v>
      </c>
      <c r="H695" s="37" t="s">
        <v>53</v>
      </c>
      <c r="I695" s="52" t="s">
        <v>42</v>
      </c>
      <c r="J695" s="37" t="str">
        <f t="shared" si="4"/>
        <v>No</v>
      </c>
      <c r="K695" s="35"/>
      <c r="L695" s="35"/>
      <c r="M695" s="35"/>
      <c r="N695" s="4"/>
      <c r="O695" s="4"/>
      <c r="P695" s="50"/>
      <c r="Q695" s="50"/>
      <c r="R695" s="50"/>
      <c r="S695" s="51"/>
      <c r="T695" s="4"/>
      <c r="U695" s="4"/>
    </row>
    <row r="696" ht="18.0" customHeight="1">
      <c r="A696" s="35"/>
      <c r="B696" s="37" t="s">
        <v>1011</v>
      </c>
      <c r="C696" s="38">
        <v>44862.0</v>
      </c>
      <c r="D696" s="37">
        <v>22.0</v>
      </c>
      <c r="E696" s="37">
        <v>334.0</v>
      </c>
      <c r="F696" s="37">
        <v>89.18</v>
      </c>
      <c r="G696" s="39">
        <v>5792.03</v>
      </c>
      <c r="H696" s="37" t="s">
        <v>56</v>
      </c>
      <c r="I696" s="52" t="s">
        <v>50</v>
      </c>
      <c r="J696" s="37" t="str">
        <f t="shared" si="4"/>
        <v>No</v>
      </c>
      <c r="K696" s="35"/>
      <c r="L696" s="35"/>
      <c r="M696" s="35"/>
      <c r="N696" s="4"/>
      <c r="O696" s="4"/>
      <c r="P696" s="50"/>
      <c r="Q696" s="50"/>
      <c r="R696" s="50"/>
      <c r="S696" s="51"/>
      <c r="T696" s="4"/>
      <c r="U696" s="4"/>
    </row>
    <row r="697" ht="18.0" customHeight="1">
      <c r="A697" s="35"/>
      <c r="B697" s="37" t="s">
        <v>1012</v>
      </c>
      <c r="C697" s="38">
        <v>44638.0</v>
      </c>
      <c r="D697" s="37">
        <v>43.0</v>
      </c>
      <c r="E697" s="37">
        <v>580.0</v>
      </c>
      <c r="F697" s="37">
        <v>158.98</v>
      </c>
      <c r="G697" s="39">
        <v>1470.29</v>
      </c>
      <c r="H697" s="37" t="s">
        <v>59</v>
      </c>
      <c r="I697" s="52" t="s">
        <v>50</v>
      </c>
      <c r="J697" s="37" t="str">
        <f t="shared" si="4"/>
        <v>No</v>
      </c>
      <c r="K697" s="35"/>
      <c r="L697" s="35"/>
      <c r="M697" s="35"/>
      <c r="N697" s="4"/>
      <c r="O697" s="4"/>
      <c r="P697" s="50"/>
      <c r="Q697" s="50"/>
      <c r="R697" s="50"/>
      <c r="S697" s="51"/>
      <c r="T697" s="4"/>
      <c r="U697" s="4"/>
    </row>
    <row r="698" ht="18.0" customHeight="1">
      <c r="A698" s="35"/>
      <c r="B698" s="37" t="s">
        <v>36</v>
      </c>
      <c r="C698" s="38">
        <v>44873.0</v>
      </c>
      <c r="D698" s="37">
        <v>85.0</v>
      </c>
      <c r="E698" s="37">
        <v>922.0</v>
      </c>
      <c r="F698" s="37">
        <v>18.12</v>
      </c>
      <c r="G698" s="39">
        <v>3736.41</v>
      </c>
      <c r="H698" s="37" t="s">
        <v>61</v>
      </c>
      <c r="I698" s="52" t="s">
        <v>50</v>
      </c>
      <c r="J698" s="37" t="str">
        <f t="shared" si="4"/>
        <v>No</v>
      </c>
      <c r="K698" s="35"/>
      <c r="L698" s="35"/>
      <c r="M698" s="35"/>
      <c r="N698" s="4"/>
      <c r="O698" s="4"/>
      <c r="P698" s="50"/>
      <c r="Q698" s="50"/>
      <c r="R698" s="50"/>
      <c r="S698" s="51"/>
      <c r="T698" s="4"/>
      <c r="U698" s="4"/>
    </row>
    <row r="699" ht="18.0" customHeight="1">
      <c r="A699" s="35"/>
      <c r="B699" s="37" t="s">
        <v>1013</v>
      </c>
      <c r="C699" s="38">
        <v>44882.0</v>
      </c>
      <c r="D699" s="37">
        <v>20.0</v>
      </c>
      <c r="E699" s="37">
        <v>536.0</v>
      </c>
      <c r="F699" s="37">
        <v>234.96</v>
      </c>
      <c r="G699" s="39">
        <v>8517.22</v>
      </c>
      <c r="H699" s="37" t="s">
        <v>63</v>
      </c>
      <c r="I699" s="52" t="s">
        <v>42</v>
      </c>
      <c r="J699" s="37" t="str">
        <f t="shared" si="4"/>
        <v>No</v>
      </c>
      <c r="K699" s="35"/>
      <c r="L699" s="35"/>
      <c r="M699" s="35"/>
      <c r="N699" s="4"/>
      <c r="O699" s="4"/>
      <c r="P699" s="50"/>
      <c r="Q699" s="50"/>
      <c r="R699" s="50"/>
      <c r="S699" s="51"/>
      <c r="T699" s="4"/>
      <c r="U699" s="4"/>
    </row>
    <row r="700" ht="18.0" customHeight="1">
      <c r="A700" s="35"/>
      <c r="B700" s="37" t="s">
        <v>1014</v>
      </c>
      <c r="C700" s="38">
        <v>44886.0</v>
      </c>
      <c r="D700" s="37">
        <v>15.0</v>
      </c>
      <c r="E700" s="37">
        <v>271.0</v>
      </c>
      <c r="F700" s="37">
        <v>44.11</v>
      </c>
      <c r="G700" s="39">
        <v>133.34</v>
      </c>
      <c r="H700" s="37" t="s">
        <v>66</v>
      </c>
      <c r="I700" s="52" t="s">
        <v>50</v>
      </c>
      <c r="J700" s="37" t="str">
        <f t="shared" si="4"/>
        <v>No</v>
      </c>
      <c r="K700" s="35"/>
      <c r="L700" s="35"/>
      <c r="M700" s="35"/>
      <c r="N700" s="4"/>
      <c r="O700" s="4"/>
      <c r="P700" s="50"/>
      <c r="Q700" s="50"/>
      <c r="R700" s="50"/>
      <c r="S700" s="51"/>
      <c r="T700" s="4"/>
      <c r="U700" s="4"/>
    </row>
    <row r="701" ht="18.0" customHeight="1">
      <c r="A701" s="35"/>
      <c r="B701" s="37" t="s">
        <v>1015</v>
      </c>
      <c r="C701" s="38">
        <v>44610.0</v>
      </c>
      <c r="D701" s="37">
        <v>8.0</v>
      </c>
      <c r="E701" s="37">
        <v>195.0</v>
      </c>
      <c r="F701" s="37">
        <v>93.99</v>
      </c>
      <c r="G701" s="39">
        <v>2972.6</v>
      </c>
      <c r="H701" s="37" t="s">
        <v>68</v>
      </c>
      <c r="I701" s="52" t="s">
        <v>38</v>
      </c>
      <c r="J701" s="37" t="str">
        <f t="shared" si="4"/>
        <v>No</v>
      </c>
      <c r="K701" s="35"/>
      <c r="L701" s="35"/>
      <c r="M701" s="35"/>
      <c r="N701" s="4"/>
      <c r="O701" s="4"/>
      <c r="P701" s="50"/>
      <c r="Q701" s="50"/>
      <c r="R701" s="50"/>
      <c r="S701" s="51"/>
      <c r="T701" s="4"/>
      <c r="U701" s="4"/>
    </row>
    <row r="702" ht="18.0" customHeight="1">
      <c r="A702" s="35"/>
      <c r="B702" s="37" t="s">
        <v>1016</v>
      </c>
      <c r="C702" s="38">
        <v>44724.0</v>
      </c>
      <c r="D702" s="37">
        <v>16.0</v>
      </c>
      <c r="E702" s="37">
        <v>20.0</v>
      </c>
      <c r="F702" s="37">
        <v>102.46</v>
      </c>
      <c r="G702" s="39">
        <v>1320.01</v>
      </c>
      <c r="H702" s="37" t="s">
        <v>71</v>
      </c>
      <c r="I702" s="52" t="s">
        <v>38</v>
      </c>
      <c r="J702" s="37" t="str">
        <f t="shared" si="4"/>
        <v>No</v>
      </c>
      <c r="K702" s="35"/>
      <c r="L702" s="35"/>
      <c r="M702" s="35"/>
      <c r="N702" s="4"/>
      <c r="O702" s="4"/>
      <c r="P702" s="50"/>
      <c r="Q702" s="50"/>
      <c r="R702" s="50"/>
      <c r="S702" s="51"/>
      <c r="T702" s="4"/>
      <c r="U702" s="4"/>
    </row>
    <row r="703" ht="18.0" customHeight="1">
      <c r="A703" s="35"/>
      <c r="B703" s="37" t="s">
        <v>1017</v>
      </c>
      <c r="C703" s="38">
        <v>44727.0</v>
      </c>
      <c r="D703" s="37">
        <v>72.0</v>
      </c>
      <c r="E703" s="37">
        <v>489.0</v>
      </c>
      <c r="F703" s="37">
        <v>158.75</v>
      </c>
      <c r="G703" s="39">
        <v>7288.21</v>
      </c>
      <c r="H703" s="37" t="s">
        <v>1018</v>
      </c>
      <c r="I703" s="52" t="s">
        <v>38</v>
      </c>
      <c r="J703" s="37" t="str">
        <f t="shared" si="4"/>
        <v>No</v>
      </c>
      <c r="K703" s="35"/>
      <c r="L703" s="35"/>
      <c r="M703" s="35"/>
      <c r="N703" s="4"/>
      <c r="O703" s="4"/>
      <c r="P703" s="50"/>
      <c r="Q703" s="50"/>
      <c r="R703" s="50"/>
      <c r="S703" s="51"/>
      <c r="T703" s="4"/>
      <c r="U703" s="4"/>
    </row>
    <row r="704" ht="18.0" customHeight="1">
      <c r="A704" s="35"/>
      <c r="B704" s="37" t="s">
        <v>1019</v>
      </c>
      <c r="C704" s="38">
        <v>44923.0</v>
      </c>
      <c r="D704" s="37">
        <v>75.0</v>
      </c>
      <c r="E704" s="37">
        <v>448.0</v>
      </c>
      <c r="F704" s="37">
        <v>128.21</v>
      </c>
      <c r="G704" s="39">
        <v>9216.68</v>
      </c>
      <c r="H704" s="37" t="s">
        <v>1020</v>
      </c>
      <c r="I704" s="52" t="s">
        <v>38</v>
      </c>
      <c r="J704" s="37" t="str">
        <f t="shared" si="4"/>
        <v>No</v>
      </c>
      <c r="K704" s="35"/>
      <c r="L704" s="35"/>
      <c r="M704" s="35"/>
      <c r="N704" s="4"/>
      <c r="O704" s="4"/>
      <c r="P704" s="50"/>
      <c r="Q704" s="50"/>
      <c r="R704" s="50"/>
      <c r="S704" s="51"/>
      <c r="T704" s="4"/>
      <c r="U704" s="4"/>
    </row>
    <row r="705" ht="18.0" customHeight="1">
      <c r="A705" s="35"/>
      <c r="B705" s="37" t="s">
        <v>1021</v>
      </c>
      <c r="C705" s="38">
        <v>44681.0</v>
      </c>
      <c r="D705" s="37">
        <v>65.0</v>
      </c>
      <c r="E705" s="37">
        <v>324.0</v>
      </c>
      <c r="F705" s="37">
        <v>105.43</v>
      </c>
      <c r="G705" s="39">
        <v>1524.23</v>
      </c>
      <c r="H705" s="37" t="s">
        <v>1022</v>
      </c>
      <c r="I705" s="52" t="s">
        <v>50</v>
      </c>
      <c r="J705" s="37" t="str">
        <f t="shared" si="4"/>
        <v>No</v>
      </c>
      <c r="K705" s="35"/>
      <c r="L705" s="35"/>
      <c r="M705" s="35"/>
      <c r="N705" s="4"/>
      <c r="O705" s="4"/>
      <c r="P705" s="50"/>
      <c r="Q705" s="50"/>
      <c r="R705" s="50"/>
      <c r="S705" s="51"/>
      <c r="T705" s="4"/>
      <c r="U705" s="4"/>
    </row>
    <row r="706" ht="18.0" customHeight="1">
      <c r="A706" s="35"/>
      <c r="B706" s="37" t="s">
        <v>1023</v>
      </c>
      <c r="C706" s="38">
        <v>44763.0</v>
      </c>
      <c r="D706" s="37">
        <v>14.0</v>
      </c>
      <c r="E706" s="37">
        <v>433.0</v>
      </c>
      <c r="F706" s="37">
        <v>48.25</v>
      </c>
      <c r="G706" s="39">
        <v>3223.48</v>
      </c>
      <c r="H706" s="37" t="s">
        <v>1024</v>
      </c>
      <c r="I706" s="52" t="s">
        <v>38</v>
      </c>
      <c r="J706" s="37" t="str">
        <f t="shared" si="4"/>
        <v>No</v>
      </c>
      <c r="K706" s="35"/>
      <c r="L706" s="35"/>
      <c r="M706" s="35"/>
      <c r="N706" s="4"/>
      <c r="O706" s="4"/>
      <c r="P706" s="50"/>
      <c r="Q706" s="50"/>
      <c r="R706" s="50"/>
      <c r="S706" s="51"/>
      <c r="T706" s="4"/>
      <c r="U706" s="4"/>
    </row>
    <row r="707" ht="18.0" customHeight="1">
      <c r="A707" s="35"/>
      <c r="B707" s="37" t="s">
        <v>1025</v>
      </c>
      <c r="C707" s="38">
        <v>44659.0</v>
      </c>
      <c r="D707" s="37">
        <v>24.0</v>
      </c>
      <c r="E707" s="37">
        <v>783.0</v>
      </c>
      <c r="F707" s="37">
        <v>224.58</v>
      </c>
      <c r="G707" s="39">
        <v>1709.18</v>
      </c>
      <c r="H707" s="37" t="s">
        <v>1026</v>
      </c>
      <c r="I707" s="52" t="s">
        <v>50</v>
      </c>
      <c r="J707" s="37" t="str">
        <f t="shared" si="4"/>
        <v>No</v>
      </c>
      <c r="K707" s="35"/>
      <c r="L707" s="35"/>
      <c r="M707" s="35"/>
      <c r="N707" s="4"/>
      <c r="O707" s="4"/>
      <c r="P707" s="50"/>
      <c r="Q707" s="50"/>
      <c r="R707" s="50"/>
      <c r="S707" s="51"/>
      <c r="T707" s="4"/>
      <c r="U707" s="4"/>
    </row>
    <row r="708" ht="18.0" customHeight="1">
      <c r="A708" s="35"/>
      <c r="B708" s="37" t="s">
        <v>48</v>
      </c>
      <c r="C708" s="38">
        <v>44657.0</v>
      </c>
      <c r="D708" s="37">
        <v>83.0</v>
      </c>
      <c r="E708" s="37">
        <v>881.0</v>
      </c>
      <c r="F708" s="37">
        <v>224.06</v>
      </c>
      <c r="G708" s="39">
        <v>7011.08</v>
      </c>
      <c r="H708" s="37" t="s">
        <v>1027</v>
      </c>
      <c r="I708" s="52" t="s">
        <v>42</v>
      </c>
      <c r="J708" s="37" t="str">
        <f t="shared" si="4"/>
        <v>No</v>
      </c>
      <c r="K708" s="35"/>
      <c r="L708" s="35"/>
      <c r="M708" s="35"/>
      <c r="N708" s="4"/>
      <c r="O708" s="4"/>
      <c r="P708" s="50"/>
      <c r="Q708" s="50"/>
      <c r="R708" s="50"/>
      <c r="S708" s="51"/>
      <c r="T708" s="4"/>
      <c r="U708" s="4"/>
    </row>
    <row r="709" ht="18.0" customHeight="1">
      <c r="A709" s="35"/>
      <c r="B709" s="37" t="s">
        <v>1028</v>
      </c>
      <c r="C709" s="38">
        <v>44843.0</v>
      </c>
      <c r="D709" s="37">
        <v>86.0</v>
      </c>
      <c r="E709" s="37">
        <v>714.0</v>
      </c>
      <c r="F709" s="37">
        <v>233.17</v>
      </c>
      <c r="G709" s="39">
        <v>1537.32</v>
      </c>
      <c r="H709" s="37" t="s">
        <v>87</v>
      </c>
      <c r="I709" s="52" t="s">
        <v>42</v>
      </c>
      <c r="J709" s="37" t="str">
        <f t="shared" si="4"/>
        <v>No</v>
      </c>
      <c r="K709" s="35"/>
      <c r="L709" s="35"/>
      <c r="M709" s="35"/>
      <c r="N709" s="4"/>
      <c r="O709" s="4"/>
      <c r="P709" s="50"/>
      <c r="Q709" s="50"/>
      <c r="R709" s="50"/>
      <c r="S709" s="51"/>
      <c r="T709" s="4"/>
      <c r="U709" s="4"/>
    </row>
    <row r="710" ht="18.0" customHeight="1">
      <c r="A710" s="35"/>
      <c r="B710" s="37" t="s">
        <v>1029</v>
      </c>
      <c r="C710" s="38">
        <v>44810.0</v>
      </c>
      <c r="D710" s="37">
        <v>91.0</v>
      </c>
      <c r="E710" s="37">
        <v>807.0</v>
      </c>
      <c r="F710" s="37">
        <v>189.8</v>
      </c>
      <c r="G710" s="39">
        <v>9323.13</v>
      </c>
      <c r="H710" s="37" t="s">
        <v>37</v>
      </c>
      <c r="I710" s="52" t="s">
        <v>42</v>
      </c>
      <c r="J710" s="37" t="str">
        <f t="shared" si="4"/>
        <v>Yes</v>
      </c>
      <c r="K710" s="35"/>
      <c r="L710" s="35"/>
      <c r="M710" s="35"/>
      <c r="N710" s="4"/>
      <c r="O710" s="4"/>
      <c r="P710" s="50"/>
      <c r="Q710" s="50"/>
      <c r="R710" s="50"/>
      <c r="S710" s="51"/>
      <c r="T710" s="4"/>
      <c r="U710" s="4"/>
    </row>
    <row r="711" ht="18.0" customHeight="1">
      <c r="A711" s="35"/>
      <c r="B711" s="37" t="s">
        <v>40</v>
      </c>
      <c r="C711" s="38">
        <v>44735.0</v>
      </c>
      <c r="D711" s="37">
        <v>74.0</v>
      </c>
      <c r="E711" s="37">
        <v>865.0</v>
      </c>
      <c r="F711" s="37">
        <v>182.8</v>
      </c>
      <c r="G711" s="39">
        <v>9247.91</v>
      </c>
      <c r="H711" s="37" t="s">
        <v>41</v>
      </c>
      <c r="I711" s="52" t="s">
        <v>42</v>
      </c>
      <c r="J711" s="37" t="str">
        <f t="shared" si="4"/>
        <v>No</v>
      </c>
      <c r="K711" s="35"/>
      <c r="L711" s="35"/>
      <c r="M711" s="35"/>
      <c r="N711" s="4"/>
      <c r="O711" s="4"/>
      <c r="P711" s="50"/>
      <c r="Q711" s="50"/>
      <c r="R711" s="50"/>
      <c r="S711" s="51"/>
      <c r="T711" s="4"/>
      <c r="U711" s="4"/>
    </row>
    <row r="712" ht="18.0" customHeight="1">
      <c r="A712" s="35"/>
      <c r="B712" s="37" t="s">
        <v>1030</v>
      </c>
      <c r="C712" s="38">
        <v>44569.0</v>
      </c>
      <c r="D712" s="37">
        <v>3.0</v>
      </c>
      <c r="E712" s="37">
        <v>754.0</v>
      </c>
      <c r="F712" s="37">
        <v>137.17</v>
      </c>
      <c r="G712" s="39">
        <v>4382.52</v>
      </c>
      <c r="H712" s="37" t="s">
        <v>45</v>
      </c>
      <c r="I712" s="52" t="s">
        <v>42</v>
      </c>
      <c r="J712" s="37" t="str">
        <f t="shared" si="4"/>
        <v>No</v>
      </c>
      <c r="K712" s="35"/>
      <c r="L712" s="35"/>
      <c r="M712" s="35"/>
      <c r="N712" s="4"/>
      <c r="O712" s="4"/>
      <c r="P712" s="50"/>
      <c r="Q712" s="50"/>
      <c r="R712" s="50"/>
      <c r="S712" s="51"/>
      <c r="T712" s="4"/>
      <c r="U712" s="4"/>
    </row>
    <row r="713" ht="18.0" customHeight="1">
      <c r="A713" s="35"/>
      <c r="B713" s="37" t="s">
        <v>1031</v>
      </c>
      <c r="C713" s="38">
        <v>44859.0</v>
      </c>
      <c r="D713" s="37">
        <v>42.0</v>
      </c>
      <c r="E713" s="37">
        <v>987.0</v>
      </c>
      <c r="F713" s="37">
        <v>64.03</v>
      </c>
      <c r="G713" s="39">
        <v>6653.01</v>
      </c>
      <c r="H713" s="37" t="s">
        <v>49</v>
      </c>
      <c r="I713" s="52" t="s">
        <v>42</v>
      </c>
      <c r="J713" s="37" t="str">
        <f t="shared" si="4"/>
        <v>No</v>
      </c>
      <c r="K713" s="35"/>
      <c r="L713" s="35"/>
      <c r="M713" s="35"/>
      <c r="N713" s="4"/>
      <c r="O713" s="4"/>
      <c r="P713" s="50"/>
      <c r="Q713" s="50"/>
      <c r="R713" s="50"/>
      <c r="S713" s="51"/>
      <c r="T713" s="4"/>
      <c r="U713" s="4"/>
    </row>
    <row r="714" ht="18.0" customHeight="1">
      <c r="A714" s="35"/>
      <c r="B714" s="37" t="s">
        <v>1032</v>
      </c>
      <c r="C714" s="38">
        <v>44741.0</v>
      </c>
      <c r="D714" s="37">
        <v>51.0</v>
      </c>
      <c r="E714" s="37">
        <v>294.0</v>
      </c>
      <c r="F714" s="37">
        <v>93.13</v>
      </c>
      <c r="G714" s="39">
        <v>9451.29</v>
      </c>
      <c r="H714" s="37" t="s">
        <v>53</v>
      </c>
      <c r="I714" s="52" t="s">
        <v>42</v>
      </c>
      <c r="J714" s="37" t="str">
        <f t="shared" si="4"/>
        <v>No</v>
      </c>
      <c r="K714" s="35"/>
      <c r="L714" s="35"/>
      <c r="M714" s="35"/>
      <c r="N714" s="4"/>
      <c r="O714" s="4"/>
      <c r="P714" s="50"/>
      <c r="Q714" s="50"/>
      <c r="R714" s="50"/>
      <c r="S714" s="51"/>
      <c r="T714" s="4"/>
      <c r="U714" s="4"/>
    </row>
    <row r="715" ht="18.0" customHeight="1">
      <c r="A715" s="35"/>
      <c r="B715" s="37" t="s">
        <v>1033</v>
      </c>
      <c r="C715" s="38">
        <v>44874.0</v>
      </c>
      <c r="D715" s="37">
        <v>100.0</v>
      </c>
      <c r="E715" s="37">
        <v>977.0</v>
      </c>
      <c r="F715" s="37">
        <v>51.58</v>
      </c>
      <c r="G715" s="39">
        <v>5976.31</v>
      </c>
      <c r="H715" s="37" t="s">
        <v>56</v>
      </c>
      <c r="I715" s="52" t="s">
        <v>42</v>
      </c>
      <c r="J715" s="37" t="str">
        <f t="shared" si="4"/>
        <v>No</v>
      </c>
      <c r="K715" s="35"/>
      <c r="L715" s="35"/>
      <c r="M715" s="35"/>
      <c r="N715" s="4"/>
      <c r="O715" s="4"/>
      <c r="P715" s="50"/>
      <c r="Q715" s="50"/>
      <c r="R715" s="50"/>
      <c r="S715" s="51"/>
      <c r="T715" s="4"/>
      <c r="U715" s="4"/>
    </row>
    <row r="716" ht="18.0" customHeight="1">
      <c r="A716" s="35"/>
      <c r="B716" s="37" t="s">
        <v>1034</v>
      </c>
      <c r="C716" s="38">
        <v>44713.0</v>
      </c>
      <c r="D716" s="37">
        <v>34.0</v>
      </c>
      <c r="E716" s="37">
        <v>501.0</v>
      </c>
      <c r="F716" s="37">
        <v>138.71</v>
      </c>
      <c r="G716" s="39">
        <v>2482.9</v>
      </c>
      <c r="H716" s="37" t="s">
        <v>59</v>
      </c>
      <c r="I716" s="52" t="s">
        <v>38</v>
      </c>
      <c r="J716" s="37" t="str">
        <f t="shared" si="4"/>
        <v>No</v>
      </c>
      <c r="K716" s="35"/>
      <c r="L716" s="35"/>
      <c r="M716" s="35"/>
      <c r="N716" s="4"/>
      <c r="O716" s="4"/>
      <c r="P716" s="50"/>
      <c r="Q716" s="50"/>
      <c r="R716" s="50"/>
      <c r="S716" s="51"/>
      <c r="T716" s="4"/>
      <c r="U716" s="4"/>
    </row>
    <row r="717" ht="18.0" customHeight="1">
      <c r="A717" s="35"/>
      <c r="B717" s="37" t="s">
        <v>1035</v>
      </c>
      <c r="C717" s="38">
        <v>44864.0</v>
      </c>
      <c r="D717" s="37">
        <v>58.0</v>
      </c>
      <c r="E717" s="37">
        <v>746.0</v>
      </c>
      <c r="F717" s="37">
        <v>70.67</v>
      </c>
      <c r="G717" s="39">
        <v>3588.92</v>
      </c>
      <c r="H717" s="37" t="s">
        <v>61</v>
      </c>
      <c r="I717" s="52" t="s">
        <v>50</v>
      </c>
      <c r="J717" s="37" t="str">
        <f t="shared" si="4"/>
        <v>No</v>
      </c>
      <c r="K717" s="35"/>
      <c r="L717" s="35"/>
      <c r="M717" s="35"/>
      <c r="N717" s="4"/>
      <c r="O717" s="4"/>
      <c r="P717" s="50"/>
      <c r="Q717" s="50"/>
      <c r="R717" s="50"/>
      <c r="S717" s="51"/>
      <c r="T717" s="4"/>
      <c r="U717" s="4"/>
    </row>
    <row r="718" ht="18.0" customHeight="1">
      <c r="A718" s="35"/>
      <c r="B718" s="37" t="s">
        <v>1036</v>
      </c>
      <c r="C718" s="38">
        <v>44867.0</v>
      </c>
      <c r="D718" s="37">
        <v>37.0</v>
      </c>
      <c r="E718" s="37">
        <v>290.0</v>
      </c>
      <c r="F718" s="37">
        <v>200.84</v>
      </c>
      <c r="G718" s="39">
        <v>4105.09</v>
      </c>
      <c r="H718" s="37" t="s">
        <v>63</v>
      </c>
      <c r="I718" s="52" t="s">
        <v>42</v>
      </c>
      <c r="J718" s="37" t="str">
        <f t="shared" si="4"/>
        <v>No</v>
      </c>
      <c r="K718" s="35"/>
      <c r="L718" s="35"/>
      <c r="M718" s="35"/>
      <c r="N718" s="4"/>
      <c r="O718" s="4"/>
      <c r="P718" s="50"/>
      <c r="Q718" s="50"/>
      <c r="R718" s="50"/>
      <c r="S718" s="51"/>
      <c r="T718" s="4"/>
      <c r="U718" s="4"/>
    </row>
    <row r="719" ht="18.0" customHeight="1">
      <c r="A719" s="35"/>
      <c r="B719" s="37" t="s">
        <v>1037</v>
      </c>
      <c r="C719" s="38">
        <v>44609.0</v>
      </c>
      <c r="D719" s="37">
        <v>81.0</v>
      </c>
      <c r="E719" s="37">
        <v>423.0</v>
      </c>
      <c r="F719" s="37">
        <v>249.14</v>
      </c>
      <c r="G719" s="39">
        <v>1870.7</v>
      </c>
      <c r="H719" s="37" t="s">
        <v>66</v>
      </c>
      <c r="I719" s="52" t="s">
        <v>38</v>
      </c>
      <c r="J719" s="37" t="str">
        <f t="shared" si="4"/>
        <v>No</v>
      </c>
      <c r="K719" s="35"/>
      <c r="L719" s="35"/>
      <c r="M719" s="35"/>
      <c r="N719" s="4"/>
      <c r="O719" s="4"/>
      <c r="P719" s="50"/>
      <c r="Q719" s="50"/>
      <c r="R719" s="50"/>
      <c r="S719" s="51"/>
      <c r="T719" s="4"/>
      <c r="U719" s="4"/>
    </row>
    <row r="720" ht="18.0" customHeight="1">
      <c r="A720" s="35"/>
      <c r="B720" s="37" t="s">
        <v>1038</v>
      </c>
      <c r="C720" s="38">
        <v>44888.0</v>
      </c>
      <c r="D720" s="37">
        <v>94.0</v>
      </c>
      <c r="E720" s="37">
        <v>638.0</v>
      </c>
      <c r="F720" s="37">
        <v>91.39</v>
      </c>
      <c r="G720" s="39">
        <v>2192.53</v>
      </c>
      <c r="H720" s="37" t="s">
        <v>68</v>
      </c>
      <c r="I720" s="52" t="s">
        <v>50</v>
      </c>
      <c r="J720" s="37" t="str">
        <f t="shared" si="4"/>
        <v>No</v>
      </c>
      <c r="K720" s="35"/>
      <c r="L720" s="35"/>
      <c r="M720" s="35"/>
      <c r="N720" s="4"/>
      <c r="O720" s="4"/>
      <c r="P720" s="50"/>
      <c r="Q720" s="50"/>
      <c r="R720" s="50"/>
      <c r="S720" s="51"/>
      <c r="T720" s="4"/>
      <c r="U720" s="4"/>
    </row>
    <row r="721" ht="18.0" customHeight="1">
      <c r="A721" s="35"/>
      <c r="B721" s="37" t="s">
        <v>1039</v>
      </c>
      <c r="C721" s="38">
        <v>44749.0</v>
      </c>
      <c r="D721" s="37">
        <v>4.0</v>
      </c>
      <c r="E721" s="37">
        <v>914.0</v>
      </c>
      <c r="F721" s="37">
        <v>218.8</v>
      </c>
      <c r="G721" s="39">
        <v>2141.54</v>
      </c>
      <c r="H721" s="37" t="s">
        <v>71</v>
      </c>
      <c r="I721" s="52" t="s">
        <v>38</v>
      </c>
      <c r="J721" s="37" t="str">
        <f t="shared" si="4"/>
        <v>No</v>
      </c>
      <c r="K721" s="35"/>
      <c r="L721" s="35"/>
      <c r="M721" s="35"/>
      <c r="N721" s="4"/>
      <c r="O721" s="4"/>
      <c r="P721" s="50"/>
      <c r="Q721" s="50"/>
      <c r="R721" s="50"/>
      <c r="S721" s="51"/>
      <c r="T721" s="4"/>
      <c r="U721" s="4"/>
    </row>
    <row r="722" ht="18.0" customHeight="1">
      <c r="A722" s="35"/>
      <c r="B722" s="37" t="s">
        <v>1040</v>
      </c>
      <c r="C722" s="38">
        <v>44778.0</v>
      </c>
      <c r="D722" s="37">
        <v>24.0</v>
      </c>
      <c r="E722" s="37">
        <v>223.0</v>
      </c>
      <c r="F722" s="37">
        <v>242.0</v>
      </c>
      <c r="G722" s="39">
        <v>5849.77</v>
      </c>
      <c r="H722" s="37" t="s">
        <v>1041</v>
      </c>
      <c r="I722" s="52" t="s">
        <v>50</v>
      </c>
      <c r="J722" s="37" t="str">
        <f t="shared" si="4"/>
        <v>No</v>
      </c>
      <c r="K722" s="35"/>
      <c r="L722" s="35"/>
      <c r="M722" s="35"/>
      <c r="N722" s="4"/>
      <c r="O722" s="4"/>
      <c r="P722" s="50"/>
      <c r="Q722" s="50"/>
      <c r="R722" s="50"/>
      <c r="S722" s="51"/>
      <c r="T722" s="4"/>
      <c r="U722" s="4"/>
    </row>
    <row r="723" ht="18.0" customHeight="1">
      <c r="A723" s="35"/>
      <c r="B723" s="37" t="s">
        <v>1042</v>
      </c>
      <c r="C723" s="38">
        <v>44819.0</v>
      </c>
      <c r="D723" s="37">
        <v>80.0</v>
      </c>
      <c r="E723" s="37">
        <v>927.0</v>
      </c>
      <c r="F723" s="37">
        <v>65.09</v>
      </c>
      <c r="G723" s="39">
        <v>6910.08</v>
      </c>
      <c r="H723" s="37" t="s">
        <v>1043</v>
      </c>
      <c r="I723" s="52" t="s">
        <v>50</v>
      </c>
      <c r="J723" s="37" t="str">
        <f t="shared" si="4"/>
        <v>No</v>
      </c>
      <c r="K723" s="35"/>
      <c r="L723" s="35"/>
      <c r="M723" s="35"/>
      <c r="N723" s="4"/>
      <c r="O723" s="4"/>
      <c r="P723" s="50"/>
      <c r="Q723" s="50"/>
      <c r="R723" s="50"/>
      <c r="S723" s="51"/>
      <c r="T723" s="4"/>
      <c r="U723" s="4"/>
    </row>
    <row r="724" ht="18.0" customHeight="1">
      <c r="A724" s="35"/>
      <c r="B724" s="37" t="s">
        <v>1044</v>
      </c>
      <c r="C724" s="38">
        <v>44796.0</v>
      </c>
      <c r="D724" s="37">
        <v>44.0</v>
      </c>
      <c r="E724" s="37">
        <v>551.0</v>
      </c>
      <c r="F724" s="37">
        <v>197.55</v>
      </c>
      <c r="G724" s="39">
        <v>7613.35</v>
      </c>
      <c r="H724" s="37" t="s">
        <v>1045</v>
      </c>
      <c r="I724" s="52" t="s">
        <v>38</v>
      </c>
      <c r="J724" s="37" t="str">
        <f t="shared" si="4"/>
        <v>No</v>
      </c>
      <c r="K724" s="35"/>
      <c r="L724" s="35"/>
      <c r="M724" s="35"/>
      <c r="N724" s="4"/>
      <c r="O724" s="4"/>
      <c r="P724" s="50"/>
      <c r="Q724" s="50"/>
      <c r="R724" s="50"/>
      <c r="S724" s="51"/>
      <c r="T724" s="4"/>
      <c r="U724" s="4"/>
    </row>
    <row r="725" ht="18.0" customHeight="1">
      <c r="A725" s="35"/>
      <c r="B725" s="37" t="s">
        <v>1046</v>
      </c>
      <c r="C725" s="38">
        <v>44651.0</v>
      </c>
      <c r="D725" s="37">
        <v>56.0</v>
      </c>
      <c r="E725" s="37">
        <v>985.0</v>
      </c>
      <c r="F725" s="37">
        <v>48.25</v>
      </c>
      <c r="G725" s="39">
        <v>9763.28</v>
      </c>
      <c r="H725" s="37" t="s">
        <v>1047</v>
      </c>
      <c r="I725" s="52" t="s">
        <v>38</v>
      </c>
      <c r="J725" s="37" t="str">
        <f t="shared" si="4"/>
        <v>No</v>
      </c>
      <c r="K725" s="35"/>
      <c r="L725" s="35"/>
      <c r="M725" s="35"/>
      <c r="N725" s="4"/>
      <c r="O725" s="4"/>
      <c r="P725" s="50"/>
      <c r="Q725" s="50"/>
      <c r="R725" s="50"/>
      <c r="S725" s="51"/>
      <c r="T725" s="4"/>
      <c r="U725" s="4"/>
    </row>
    <row r="726" ht="18.0" customHeight="1">
      <c r="A726" s="35"/>
      <c r="B726" s="37" t="s">
        <v>1048</v>
      </c>
      <c r="C726" s="38">
        <v>44925.0</v>
      </c>
      <c r="D726" s="37">
        <v>90.0</v>
      </c>
      <c r="E726" s="37">
        <v>748.0</v>
      </c>
      <c r="F726" s="37">
        <v>137.63</v>
      </c>
      <c r="G726" s="39">
        <v>7468.84</v>
      </c>
      <c r="H726" s="37" t="s">
        <v>1049</v>
      </c>
      <c r="I726" s="52" t="s">
        <v>50</v>
      </c>
      <c r="J726" s="37" t="str">
        <f t="shared" si="4"/>
        <v>No</v>
      </c>
      <c r="K726" s="35"/>
      <c r="L726" s="35"/>
      <c r="M726" s="35"/>
      <c r="N726" s="4"/>
      <c r="O726" s="4"/>
      <c r="P726" s="50"/>
      <c r="Q726" s="50"/>
      <c r="R726" s="50"/>
      <c r="S726" s="51"/>
      <c r="T726" s="4"/>
      <c r="U726" s="4"/>
    </row>
    <row r="727" ht="18.0" customHeight="1">
      <c r="A727" s="35"/>
      <c r="B727" s="37" t="s">
        <v>1050</v>
      </c>
      <c r="C727" s="38">
        <v>44883.0</v>
      </c>
      <c r="D727" s="37">
        <v>47.0</v>
      </c>
      <c r="E727" s="37">
        <v>684.0</v>
      </c>
      <c r="F727" s="37">
        <v>32.0</v>
      </c>
      <c r="G727" s="39">
        <v>2898.08</v>
      </c>
      <c r="H727" s="37" t="s">
        <v>1051</v>
      </c>
      <c r="I727" s="52" t="s">
        <v>38</v>
      </c>
      <c r="J727" s="37" t="str">
        <f t="shared" si="4"/>
        <v>No</v>
      </c>
      <c r="K727" s="35"/>
      <c r="L727" s="35"/>
      <c r="M727" s="35"/>
      <c r="N727" s="4"/>
      <c r="O727" s="4"/>
      <c r="P727" s="50"/>
      <c r="Q727" s="50"/>
      <c r="R727" s="50"/>
      <c r="S727" s="51"/>
      <c r="T727" s="4"/>
      <c r="U727" s="4"/>
    </row>
    <row r="728" ht="18.0" customHeight="1">
      <c r="A728" s="35"/>
      <c r="B728" s="37" t="s">
        <v>1052</v>
      </c>
      <c r="C728" s="38">
        <v>44810.0</v>
      </c>
      <c r="D728" s="37">
        <v>70.0</v>
      </c>
      <c r="E728" s="37">
        <v>222.0</v>
      </c>
      <c r="F728" s="37">
        <v>134.0</v>
      </c>
      <c r="G728" s="39">
        <v>6938.61</v>
      </c>
      <c r="H728" s="37" t="s">
        <v>87</v>
      </c>
      <c r="I728" s="52" t="s">
        <v>38</v>
      </c>
      <c r="J728" s="37" t="str">
        <f t="shared" si="4"/>
        <v>No</v>
      </c>
      <c r="K728" s="35"/>
      <c r="L728" s="35"/>
      <c r="M728" s="35"/>
      <c r="N728" s="4"/>
      <c r="O728" s="4"/>
      <c r="P728" s="50"/>
      <c r="Q728" s="50"/>
      <c r="R728" s="50"/>
      <c r="S728" s="51"/>
      <c r="T728" s="4"/>
      <c r="U728" s="4"/>
    </row>
    <row r="729" ht="18.0" customHeight="1">
      <c r="A729" s="35"/>
      <c r="B729" s="37" t="s">
        <v>1053</v>
      </c>
      <c r="C729" s="38">
        <v>44669.0</v>
      </c>
      <c r="D729" s="37">
        <v>9.0</v>
      </c>
      <c r="E729" s="37">
        <v>895.0</v>
      </c>
      <c r="F729" s="37">
        <v>185.36</v>
      </c>
      <c r="G729" s="39">
        <v>6035.88</v>
      </c>
      <c r="H729" s="37" t="s">
        <v>37</v>
      </c>
      <c r="I729" s="52" t="s">
        <v>50</v>
      </c>
      <c r="J729" s="37" t="str">
        <f t="shared" si="4"/>
        <v>No</v>
      </c>
      <c r="K729" s="35"/>
      <c r="L729" s="35"/>
      <c r="M729" s="35"/>
      <c r="N729" s="4"/>
      <c r="O729" s="4"/>
      <c r="P729" s="50"/>
      <c r="Q729" s="50"/>
      <c r="R729" s="50"/>
      <c r="S729" s="51"/>
      <c r="T729" s="4"/>
      <c r="U729" s="4"/>
    </row>
    <row r="730" ht="18.0" customHeight="1">
      <c r="A730" s="35"/>
      <c r="B730" s="37" t="s">
        <v>1054</v>
      </c>
      <c r="C730" s="38">
        <v>44596.0</v>
      </c>
      <c r="D730" s="37">
        <v>86.0</v>
      </c>
      <c r="E730" s="37">
        <v>92.0</v>
      </c>
      <c r="F730" s="37">
        <v>119.8</v>
      </c>
      <c r="G730" s="39">
        <v>9509.81</v>
      </c>
      <c r="H730" s="37" t="s">
        <v>41</v>
      </c>
      <c r="I730" s="52" t="s">
        <v>42</v>
      </c>
      <c r="J730" s="37" t="str">
        <f t="shared" si="4"/>
        <v>No</v>
      </c>
      <c r="K730" s="35"/>
      <c r="L730" s="35"/>
      <c r="M730" s="35"/>
      <c r="N730" s="4"/>
      <c r="O730" s="4"/>
      <c r="P730" s="50"/>
      <c r="Q730" s="50"/>
      <c r="R730" s="50"/>
      <c r="S730" s="51"/>
      <c r="T730" s="4"/>
      <c r="U730" s="4"/>
    </row>
    <row r="731" ht="18.0" customHeight="1">
      <c r="A731" s="35"/>
      <c r="B731" s="37" t="s">
        <v>1055</v>
      </c>
      <c r="C731" s="38">
        <v>44789.0</v>
      </c>
      <c r="D731" s="37">
        <v>77.0</v>
      </c>
      <c r="E731" s="37">
        <v>279.0</v>
      </c>
      <c r="F731" s="37">
        <v>82.11</v>
      </c>
      <c r="G731" s="39">
        <v>8050.36</v>
      </c>
      <c r="H731" s="37" t="s">
        <v>45</v>
      </c>
      <c r="I731" s="52" t="s">
        <v>50</v>
      </c>
      <c r="J731" s="37" t="str">
        <f t="shared" si="4"/>
        <v>No</v>
      </c>
      <c r="K731" s="35"/>
      <c r="L731" s="35"/>
      <c r="M731" s="35"/>
      <c r="N731" s="4"/>
      <c r="O731" s="4"/>
      <c r="P731" s="50"/>
      <c r="Q731" s="50"/>
      <c r="R731" s="50"/>
      <c r="S731" s="51"/>
      <c r="T731" s="4"/>
      <c r="U731" s="4"/>
    </row>
    <row r="732" ht="18.0" customHeight="1">
      <c r="A732" s="35"/>
      <c r="B732" s="37" t="s">
        <v>1056</v>
      </c>
      <c r="C732" s="38">
        <v>44804.0</v>
      </c>
      <c r="D732" s="37">
        <v>56.0</v>
      </c>
      <c r="E732" s="37">
        <v>432.0</v>
      </c>
      <c r="F732" s="37">
        <v>169.94</v>
      </c>
      <c r="G732" s="39">
        <v>7968.3</v>
      </c>
      <c r="H732" s="37" t="s">
        <v>49</v>
      </c>
      <c r="I732" s="52" t="s">
        <v>50</v>
      </c>
      <c r="J732" s="37" t="str">
        <f t="shared" si="4"/>
        <v>No</v>
      </c>
      <c r="K732" s="35"/>
      <c r="L732" s="35"/>
      <c r="M732" s="35"/>
      <c r="N732" s="4"/>
      <c r="O732" s="4"/>
      <c r="P732" s="50"/>
      <c r="Q732" s="50"/>
      <c r="R732" s="50"/>
      <c r="S732" s="51"/>
      <c r="T732" s="4"/>
      <c r="U732" s="4"/>
    </row>
    <row r="733" ht="18.0" customHeight="1">
      <c r="A733" s="35"/>
      <c r="B733" s="37" t="s">
        <v>1057</v>
      </c>
      <c r="C733" s="38">
        <v>44695.0</v>
      </c>
      <c r="D733" s="37">
        <v>71.0</v>
      </c>
      <c r="E733" s="37">
        <v>172.0</v>
      </c>
      <c r="F733" s="37">
        <v>166.41</v>
      </c>
      <c r="G733" s="39">
        <v>1109.82</v>
      </c>
      <c r="H733" s="37" t="s">
        <v>53</v>
      </c>
      <c r="I733" s="52" t="s">
        <v>38</v>
      </c>
      <c r="J733" s="37" t="str">
        <f t="shared" si="4"/>
        <v>No</v>
      </c>
      <c r="K733" s="35"/>
      <c r="L733" s="35"/>
      <c r="M733" s="35"/>
      <c r="N733" s="4"/>
      <c r="O733" s="4"/>
      <c r="P733" s="50"/>
      <c r="Q733" s="50"/>
      <c r="R733" s="50"/>
      <c r="S733" s="51"/>
      <c r="T733" s="4"/>
      <c r="U733" s="4"/>
    </row>
    <row r="734" ht="18.0" customHeight="1">
      <c r="A734" s="35"/>
      <c r="B734" s="37" t="s">
        <v>1058</v>
      </c>
      <c r="C734" s="38">
        <v>44598.0</v>
      </c>
      <c r="D734" s="37">
        <v>69.0</v>
      </c>
      <c r="E734" s="37">
        <v>799.0</v>
      </c>
      <c r="F734" s="37">
        <v>245.53</v>
      </c>
      <c r="G734" s="39">
        <v>5946.89</v>
      </c>
      <c r="H734" s="37" t="s">
        <v>56</v>
      </c>
      <c r="I734" s="52" t="s">
        <v>38</v>
      </c>
      <c r="J734" s="37" t="str">
        <f t="shared" si="4"/>
        <v>No</v>
      </c>
      <c r="K734" s="35"/>
      <c r="L734" s="35"/>
      <c r="M734" s="35"/>
      <c r="N734" s="4"/>
      <c r="O734" s="4"/>
      <c r="P734" s="50"/>
      <c r="Q734" s="50"/>
      <c r="R734" s="50"/>
      <c r="S734" s="51"/>
      <c r="T734" s="4"/>
      <c r="U734" s="4"/>
    </row>
    <row r="735" ht="18.0" customHeight="1">
      <c r="A735" s="35"/>
      <c r="B735" s="37" t="s">
        <v>1059</v>
      </c>
      <c r="C735" s="38">
        <v>44681.0</v>
      </c>
      <c r="D735" s="37">
        <v>94.0</v>
      </c>
      <c r="E735" s="37">
        <v>652.0</v>
      </c>
      <c r="F735" s="37">
        <v>27.97</v>
      </c>
      <c r="G735" s="39">
        <v>74.07</v>
      </c>
      <c r="H735" s="37" t="s">
        <v>59</v>
      </c>
      <c r="I735" s="52" t="s">
        <v>38</v>
      </c>
      <c r="J735" s="37" t="str">
        <f t="shared" si="4"/>
        <v>No</v>
      </c>
      <c r="K735" s="35"/>
      <c r="L735" s="35"/>
      <c r="M735" s="35"/>
      <c r="N735" s="4"/>
      <c r="O735" s="4"/>
      <c r="P735" s="50"/>
      <c r="Q735" s="50"/>
      <c r="R735" s="50"/>
      <c r="S735" s="51"/>
      <c r="T735" s="4"/>
      <c r="U735" s="4"/>
    </row>
    <row r="736" ht="18.0" customHeight="1">
      <c r="A736" s="35"/>
      <c r="B736" s="37" t="s">
        <v>1060</v>
      </c>
      <c r="C736" s="38">
        <v>44844.0</v>
      </c>
      <c r="D736" s="37">
        <v>90.0</v>
      </c>
      <c r="E736" s="37">
        <v>643.0</v>
      </c>
      <c r="F736" s="37">
        <v>145.48</v>
      </c>
      <c r="G736" s="39">
        <v>6816.95</v>
      </c>
      <c r="H736" s="37" t="s">
        <v>61</v>
      </c>
      <c r="I736" s="52" t="s">
        <v>50</v>
      </c>
      <c r="J736" s="37" t="str">
        <f t="shared" si="4"/>
        <v>No</v>
      </c>
      <c r="K736" s="35"/>
      <c r="L736" s="35"/>
      <c r="M736" s="35"/>
      <c r="N736" s="4"/>
      <c r="O736" s="4"/>
      <c r="P736" s="50"/>
      <c r="Q736" s="50"/>
      <c r="R736" s="50"/>
      <c r="S736" s="51"/>
      <c r="T736" s="4"/>
      <c r="U736" s="4"/>
    </row>
    <row r="737" ht="18.0" customHeight="1">
      <c r="A737" s="35"/>
      <c r="B737" s="37" t="s">
        <v>1061</v>
      </c>
      <c r="C737" s="38">
        <v>44633.0</v>
      </c>
      <c r="D737" s="37">
        <v>1.0</v>
      </c>
      <c r="E737" s="37">
        <v>822.0</v>
      </c>
      <c r="F737" s="37">
        <v>99.51</v>
      </c>
      <c r="G737" s="39">
        <v>3967.44</v>
      </c>
      <c r="H737" s="37" t="s">
        <v>63</v>
      </c>
      <c r="I737" s="52" t="s">
        <v>42</v>
      </c>
      <c r="J737" s="37" t="str">
        <f t="shared" si="4"/>
        <v>No</v>
      </c>
      <c r="K737" s="35"/>
      <c r="L737" s="35"/>
      <c r="M737" s="35"/>
      <c r="N737" s="4"/>
      <c r="O737" s="4"/>
      <c r="P737" s="50"/>
      <c r="Q737" s="50"/>
      <c r="R737" s="50"/>
      <c r="S737" s="51"/>
      <c r="T737" s="4"/>
      <c r="U737" s="4"/>
    </row>
    <row r="738" ht="18.0" customHeight="1">
      <c r="A738" s="35"/>
      <c r="B738" s="37" t="s">
        <v>1062</v>
      </c>
      <c r="C738" s="38">
        <v>44628.0</v>
      </c>
      <c r="D738" s="37">
        <v>90.0</v>
      </c>
      <c r="E738" s="37">
        <v>735.0</v>
      </c>
      <c r="F738" s="37">
        <v>206.35</v>
      </c>
      <c r="G738" s="39">
        <v>8682.95</v>
      </c>
      <c r="H738" s="37" t="s">
        <v>66</v>
      </c>
      <c r="I738" s="52" t="s">
        <v>38</v>
      </c>
      <c r="J738" s="37" t="str">
        <f t="shared" si="4"/>
        <v>No</v>
      </c>
      <c r="K738" s="35"/>
      <c r="L738" s="35"/>
      <c r="M738" s="35"/>
      <c r="N738" s="4"/>
      <c r="O738" s="4"/>
      <c r="P738" s="50"/>
      <c r="Q738" s="50"/>
      <c r="R738" s="50"/>
      <c r="S738" s="51"/>
      <c r="T738" s="4"/>
      <c r="U738" s="4"/>
    </row>
    <row r="739" ht="18.0" customHeight="1">
      <c r="A739" s="35"/>
      <c r="B739" s="37" t="s">
        <v>1063</v>
      </c>
      <c r="C739" s="38">
        <v>44669.0</v>
      </c>
      <c r="D739" s="37">
        <v>56.0</v>
      </c>
      <c r="E739" s="37">
        <v>703.0</v>
      </c>
      <c r="F739" s="37">
        <v>5.9</v>
      </c>
      <c r="G739" s="39">
        <v>7492.94</v>
      </c>
      <c r="H739" s="37" t="s">
        <v>68</v>
      </c>
      <c r="I739" s="52" t="s">
        <v>42</v>
      </c>
      <c r="J739" s="37" t="str">
        <f t="shared" si="4"/>
        <v>No</v>
      </c>
      <c r="K739" s="35"/>
      <c r="L739" s="35"/>
      <c r="M739" s="35"/>
      <c r="N739" s="4"/>
      <c r="O739" s="4"/>
      <c r="P739" s="50"/>
      <c r="Q739" s="50"/>
      <c r="R739" s="50"/>
      <c r="S739" s="51"/>
      <c r="T739" s="4"/>
      <c r="U739" s="4"/>
    </row>
    <row r="740" ht="18.0" customHeight="1">
      <c r="A740" s="35"/>
      <c r="B740" s="37" t="s">
        <v>1064</v>
      </c>
      <c r="C740" s="38">
        <v>44755.0</v>
      </c>
      <c r="D740" s="37">
        <v>56.0</v>
      </c>
      <c r="E740" s="37">
        <v>84.0</v>
      </c>
      <c r="F740" s="37">
        <v>207.7</v>
      </c>
      <c r="G740" s="39">
        <v>9604.6</v>
      </c>
      <c r="H740" s="37" t="s">
        <v>71</v>
      </c>
      <c r="I740" s="52" t="s">
        <v>50</v>
      </c>
      <c r="J740" s="37" t="str">
        <f t="shared" si="4"/>
        <v>No</v>
      </c>
      <c r="K740" s="35"/>
      <c r="L740" s="35"/>
      <c r="M740" s="35"/>
      <c r="N740" s="4"/>
      <c r="O740" s="4"/>
      <c r="P740" s="50"/>
      <c r="Q740" s="50"/>
      <c r="R740" s="50"/>
      <c r="S740" s="51"/>
      <c r="T740" s="4"/>
      <c r="U740" s="4"/>
    </row>
    <row r="741" ht="18.0" customHeight="1">
      <c r="A741" s="35"/>
      <c r="B741" s="37" t="s">
        <v>1065</v>
      </c>
      <c r="C741" s="38">
        <v>44638.0</v>
      </c>
      <c r="D741" s="37">
        <v>86.0</v>
      </c>
      <c r="E741" s="37">
        <v>88.0</v>
      </c>
      <c r="F741" s="37">
        <v>170.47</v>
      </c>
      <c r="G741" s="39">
        <v>6779.71</v>
      </c>
      <c r="H741" s="37" t="s">
        <v>1066</v>
      </c>
      <c r="I741" s="52" t="s">
        <v>38</v>
      </c>
      <c r="J741" s="37" t="str">
        <f t="shared" si="4"/>
        <v>No</v>
      </c>
      <c r="K741" s="35"/>
      <c r="L741" s="35"/>
      <c r="M741" s="35"/>
      <c r="N741" s="4"/>
      <c r="O741" s="4"/>
      <c r="P741" s="50"/>
      <c r="Q741" s="50"/>
      <c r="R741" s="50"/>
      <c r="S741" s="51"/>
      <c r="T741" s="4"/>
      <c r="U741" s="4"/>
    </row>
    <row r="742" ht="18.0" customHeight="1">
      <c r="A742" s="35"/>
      <c r="B742" s="37" t="s">
        <v>1067</v>
      </c>
      <c r="C742" s="38">
        <v>44698.0</v>
      </c>
      <c r="D742" s="37">
        <v>79.0</v>
      </c>
      <c r="E742" s="37">
        <v>27.0</v>
      </c>
      <c r="F742" s="37">
        <v>80.37</v>
      </c>
      <c r="G742" s="39">
        <v>2284.7</v>
      </c>
      <c r="H742" s="37" t="s">
        <v>1068</v>
      </c>
      <c r="I742" s="52" t="s">
        <v>42</v>
      </c>
      <c r="J742" s="37" t="str">
        <f t="shared" si="4"/>
        <v>No</v>
      </c>
      <c r="K742" s="35"/>
      <c r="L742" s="35"/>
      <c r="M742" s="35"/>
      <c r="N742" s="4"/>
      <c r="O742" s="4"/>
      <c r="P742" s="50"/>
      <c r="Q742" s="50"/>
      <c r="R742" s="50"/>
      <c r="S742" s="51"/>
      <c r="T742" s="4"/>
      <c r="U742" s="4"/>
    </row>
    <row r="743" ht="18.0" customHeight="1">
      <c r="A743" s="35"/>
      <c r="B743" s="37" t="s">
        <v>1069</v>
      </c>
      <c r="C743" s="38">
        <v>44870.0</v>
      </c>
      <c r="D743" s="37">
        <v>84.0</v>
      </c>
      <c r="E743" s="37">
        <v>214.0</v>
      </c>
      <c r="F743" s="37">
        <v>193.65</v>
      </c>
      <c r="G743" s="39">
        <v>6415.2</v>
      </c>
      <c r="H743" s="37" t="s">
        <v>1070</v>
      </c>
      <c r="I743" s="52" t="s">
        <v>42</v>
      </c>
      <c r="J743" s="37" t="str">
        <f t="shared" si="4"/>
        <v>No</v>
      </c>
      <c r="K743" s="35"/>
      <c r="L743" s="35"/>
      <c r="M743" s="35"/>
      <c r="N743" s="4"/>
      <c r="O743" s="4"/>
      <c r="P743" s="50"/>
      <c r="Q743" s="50"/>
      <c r="R743" s="50"/>
      <c r="S743" s="51"/>
      <c r="T743" s="4"/>
      <c r="U743" s="4"/>
    </row>
    <row r="744" ht="18.0" customHeight="1">
      <c r="A744" s="35"/>
      <c r="B744" s="37" t="s">
        <v>1071</v>
      </c>
      <c r="C744" s="38">
        <v>44605.0</v>
      </c>
      <c r="D744" s="37">
        <v>24.0</v>
      </c>
      <c r="E744" s="37">
        <v>699.0</v>
      </c>
      <c r="F744" s="37">
        <v>217.41</v>
      </c>
      <c r="G744" s="39">
        <v>8335.21</v>
      </c>
      <c r="H744" s="37" t="s">
        <v>1072</v>
      </c>
      <c r="I744" s="52" t="s">
        <v>50</v>
      </c>
      <c r="J744" s="37" t="str">
        <f t="shared" si="4"/>
        <v>No</v>
      </c>
      <c r="K744" s="35"/>
      <c r="L744" s="35"/>
      <c r="M744" s="35"/>
      <c r="N744" s="4"/>
      <c r="O744" s="4"/>
      <c r="P744" s="50"/>
      <c r="Q744" s="50"/>
      <c r="R744" s="50"/>
      <c r="S744" s="51"/>
      <c r="T744" s="4"/>
      <c r="U744" s="4"/>
    </row>
    <row r="745" ht="18.0" customHeight="1">
      <c r="A745" s="35"/>
      <c r="B745" s="37" t="s">
        <v>17</v>
      </c>
      <c r="C745" s="38">
        <v>44652.0</v>
      </c>
      <c r="D745" s="37">
        <v>46.0</v>
      </c>
      <c r="E745" s="37">
        <v>204.0</v>
      </c>
      <c r="F745" s="37">
        <v>31.25</v>
      </c>
      <c r="G745" s="39">
        <v>4688.2</v>
      </c>
      <c r="H745" s="37" t="s">
        <v>1073</v>
      </c>
      <c r="I745" s="52" t="s">
        <v>38</v>
      </c>
      <c r="J745" s="37" t="str">
        <f t="shared" si="4"/>
        <v>No</v>
      </c>
      <c r="K745" s="35"/>
      <c r="L745" s="35"/>
      <c r="M745" s="35"/>
      <c r="N745" s="4"/>
      <c r="O745" s="4"/>
      <c r="P745" s="50"/>
      <c r="Q745" s="50"/>
      <c r="R745" s="50"/>
      <c r="S745" s="51"/>
      <c r="T745" s="4"/>
      <c r="U745" s="4"/>
    </row>
    <row r="746" ht="18.0" customHeight="1">
      <c r="A746" s="35"/>
      <c r="B746" s="37" t="s">
        <v>1074</v>
      </c>
      <c r="C746" s="38">
        <v>44828.0</v>
      </c>
      <c r="D746" s="37">
        <v>78.0</v>
      </c>
      <c r="E746" s="37">
        <v>616.0</v>
      </c>
      <c r="F746" s="37">
        <v>190.01</v>
      </c>
      <c r="G746" s="39">
        <v>1887.93</v>
      </c>
      <c r="H746" s="37" t="s">
        <v>1075</v>
      </c>
      <c r="I746" s="52" t="s">
        <v>38</v>
      </c>
      <c r="J746" s="37" t="str">
        <f t="shared" si="4"/>
        <v>Yes</v>
      </c>
      <c r="K746" s="35"/>
      <c r="L746" s="35"/>
      <c r="M746" s="35"/>
      <c r="N746" s="4"/>
      <c r="O746" s="4"/>
      <c r="P746" s="50"/>
      <c r="Q746" s="50"/>
      <c r="R746" s="50"/>
      <c r="S746" s="51"/>
      <c r="T746" s="4"/>
      <c r="U746" s="4"/>
    </row>
    <row r="747" ht="18.0" customHeight="1">
      <c r="A747" s="35"/>
      <c r="B747" s="37" t="s">
        <v>1076</v>
      </c>
      <c r="C747" s="38">
        <v>44720.0</v>
      </c>
      <c r="D747" s="37">
        <v>35.0</v>
      </c>
      <c r="E747" s="37">
        <v>231.0</v>
      </c>
      <c r="F747" s="37">
        <v>80.56</v>
      </c>
      <c r="G747" s="39">
        <v>5919.53</v>
      </c>
      <c r="H747" s="37" t="s">
        <v>87</v>
      </c>
      <c r="I747" s="52" t="s">
        <v>42</v>
      </c>
      <c r="J747" s="37" t="str">
        <f t="shared" si="4"/>
        <v>No</v>
      </c>
      <c r="K747" s="35"/>
      <c r="L747" s="35"/>
      <c r="M747" s="35"/>
      <c r="N747" s="4"/>
      <c r="O747" s="4"/>
      <c r="P747" s="50"/>
      <c r="Q747" s="50"/>
      <c r="R747" s="50"/>
      <c r="S747" s="51"/>
      <c r="T747" s="4"/>
      <c r="U747" s="4"/>
    </row>
    <row r="748" ht="18.0" customHeight="1">
      <c r="A748" s="35"/>
      <c r="B748" s="37" t="s">
        <v>1077</v>
      </c>
      <c r="C748" s="38">
        <v>44823.0</v>
      </c>
      <c r="D748" s="37">
        <v>20.0</v>
      </c>
      <c r="E748" s="37">
        <v>832.0</v>
      </c>
      <c r="F748" s="37">
        <v>114.15</v>
      </c>
      <c r="G748" s="39">
        <v>1480.7</v>
      </c>
      <c r="H748" s="37" t="s">
        <v>37</v>
      </c>
      <c r="I748" s="52" t="s">
        <v>50</v>
      </c>
      <c r="J748" s="37" t="str">
        <f t="shared" si="4"/>
        <v>No</v>
      </c>
      <c r="K748" s="35"/>
      <c r="L748" s="35"/>
      <c r="M748" s="35"/>
      <c r="N748" s="4"/>
      <c r="O748" s="4"/>
      <c r="P748" s="50"/>
      <c r="Q748" s="50"/>
      <c r="R748" s="50"/>
      <c r="S748" s="51"/>
      <c r="T748" s="4"/>
      <c r="U748" s="4"/>
    </row>
    <row r="749" ht="18.0" customHeight="1">
      <c r="A749" s="35"/>
      <c r="B749" s="37" t="s">
        <v>1078</v>
      </c>
      <c r="C749" s="38">
        <v>44629.0</v>
      </c>
      <c r="D749" s="37">
        <v>41.0</v>
      </c>
      <c r="E749" s="37">
        <v>977.0</v>
      </c>
      <c r="F749" s="37">
        <v>162.25</v>
      </c>
      <c r="G749" s="39">
        <v>7018.31</v>
      </c>
      <c r="H749" s="37" t="s">
        <v>41</v>
      </c>
      <c r="I749" s="52" t="s">
        <v>38</v>
      </c>
      <c r="J749" s="37" t="str">
        <f t="shared" si="4"/>
        <v>No</v>
      </c>
      <c r="K749" s="35"/>
      <c r="L749" s="35"/>
      <c r="M749" s="35"/>
      <c r="N749" s="4"/>
      <c r="O749" s="4"/>
      <c r="P749" s="50"/>
      <c r="Q749" s="50"/>
      <c r="R749" s="50"/>
      <c r="S749" s="51"/>
      <c r="T749" s="4"/>
      <c r="U749" s="4"/>
    </row>
    <row r="750" ht="18.0" customHeight="1">
      <c r="A750" s="35"/>
      <c r="B750" s="37" t="s">
        <v>1079</v>
      </c>
      <c r="C750" s="38">
        <v>44699.0</v>
      </c>
      <c r="D750" s="37">
        <v>71.0</v>
      </c>
      <c r="E750" s="37">
        <v>393.0</v>
      </c>
      <c r="F750" s="37">
        <v>81.96</v>
      </c>
      <c r="G750" s="39">
        <v>3678.48</v>
      </c>
      <c r="H750" s="37" t="s">
        <v>45</v>
      </c>
      <c r="I750" s="52" t="s">
        <v>38</v>
      </c>
      <c r="J750" s="37" t="str">
        <f t="shared" si="4"/>
        <v>No</v>
      </c>
      <c r="K750" s="35"/>
      <c r="L750" s="35"/>
      <c r="M750" s="35"/>
      <c r="N750" s="4"/>
      <c r="O750" s="4"/>
      <c r="P750" s="50"/>
      <c r="Q750" s="50"/>
      <c r="R750" s="50"/>
      <c r="S750" s="51"/>
      <c r="T750" s="4"/>
      <c r="U750" s="4"/>
    </row>
    <row r="751" ht="18.0" customHeight="1">
      <c r="A751" s="35"/>
      <c r="B751" s="37" t="s">
        <v>1080</v>
      </c>
      <c r="C751" s="38">
        <v>44792.0</v>
      </c>
      <c r="D751" s="37">
        <v>41.0</v>
      </c>
      <c r="E751" s="37">
        <v>186.0</v>
      </c>
      <c r="F751" s="37">
        <v>31.8</v>
      </c>
      <c r="G751" s="39">
        <v>4554.06</v>
      </c>
      <c r="H751" s="37" t="s">
        <v>49</v>
      </c>
      <c r="I751" s="52" t="s">
        <v>50</v>
      </c>
      <c r="J751" s="37" t="str">
        <f t="shared" si="4"/>
        <v>No</v>
      </c>
      <c r="K751" s="35"/>
      <c r="L751" s="35"/>
      <c r="M751" s="35"/>
      <c r="N751" s="4"/>
      <c r="O751" s="4"/>
      <c r="P751" s="50"/>
      <c r="Q751" s="50"/>
      <c r="R751" s="50"/>
      <c r="S751" s="51"/>
      <c r="T751" s="4"/>
      <c r="U751" s="4"/>
    </row>
    <row r="752" ht="18.0" customHeight="1">
      <c r="A752" s="35"/>
      <c r="B752" s="37" t="s">
        <v>1081</v>
      </c>
      <c r="C752" s="38">
        <v>44592.0</v>
      </c>
      <c r="D752" s="37">
        <v>72.0</v>
      </c>
      <c r="E752" s="37">
        <v>133.0</v>
      </c>
      <c r="F752" s="37">
        <v>149.51</v>
      </c>
      <c r="G752" s="39">
        <v>7706.73</v>
      </c>
      <c r="H752" s="37" t="s">
        <v>53</v>
      </c>
      <c r="I752" s="52" t="s">
        <v>42</v>
      </c>
      <c r="J752" s="37" t="str">
        <f t="shared" si="4"/>
        <v>No</v>
      </c>
      <c r="K752" s="35"/>
      <c r="L752" s="35"/>
      <c r="M752" s="35"/>
      <c r="N752" s="4"/>
      <c r="O752" s="4"/>
      <c r="P752" s="50"/>
      <c r="Q752" s="50"/>
      <c r="R752" s="50"/>
      <c r="S752" s="51"/>
      <c r="T752" s="4"/>
      <c r="U752" s="4"/>
    </row>
    <row r="753" ht="18.0" customHeight="1">
      <c r="A753" s="35"/>
      <c r="B753" s="37" t="s">
        <v>1082</v>
      </c>
      <c r="C753" s="38">
        <v>44815.0</v>
      </c>
      <c r="D753" s="37">
        <v>16.0</v>
      </c>
      <c r="E753" s="37">
        <v>599.0</v>
      </c>
      <c r="F753" s="37">
        <v>161.33</v>
      </c>
      <c r="G753" s="39">
        <v>6104.46</v>
      </c>
      <c r="H753" s="37" t="s">
        <v>56</v>
      </c>
      <c r="I753" s="52" t="s">
        <v>38</v>
      </c>
      <c r="J753" s="37" t="str">
        <f t="shared" si="4"/>
        <v>No</v>
      </c>
      <c r="K753" s="35"/>
      <c r="L753" s="35"/>
      <c r="M753" s="35"/>
      <c r="N753" s="4"/>
      <c r="O753" s="4"/>
      <c r="P753" s="50"/>
      <c r="Q753" s="50"/>
      <c r="R753" s="50"/>
      <c r="S753" s="51"/>
      <c r="T753" s="4"/>
      <c r="U753" s="4"/>
    </row>
    <row r="754" ht="18.0" customHeight="1">
      <c r="A754" s="35"/>
      <c r="B754" s="37" t="s">
        <v>1083</v>
      </c>
      <c r="C754" s="38">
        <v>44777.0</v>
      </c>
      <c r="D754" s="37">
        <v>77.0</v>
      </c>
      <c r="E754" s="37">
        <v>677.0</v>
      </c>
      <c r="F754" s="37">
        <v>18.73</v>
      </c>
      <c r="G754" s="39">
        <v>4560.73</v>
      </c>
      <c r="H754" s="37" t="s">
        <v>59</v>
      </c>
      <c r="I754" s="52" t="s">
        <v>50</v>
      </c>
      <c r="J754" s="37" t="str">
        <f t="shared" si="4"/>
        <v>No</v>
      </c>
      <c r="K754" s="35"/>
      <c r="L754" s="35"/>
      <c r="M754" s="35"/>
      <c r="N754" s="4"/>
      <c r="O754" s="4"/>
      <c r="P754" s="50"/>
      <c r="Q754" s="50"/>
      <c r="R754" s="50"/>
      <c r="S754" s="51"/>
      <c r="T754" s="4"/>
      <c r="U754" s="4"/>
    </row>
    <row r="755" ht="18.0" customHeight="1">
      <c r="A755" s="35"/>
      <c r="B755" s="37" t="s">
        <v>36</v>
      </c>
      <c r="C755" s="38">
        <v>44711.0</v>
      </c>
      <c r="D755" s="37">
        <v>22.0</v>
      </c>
      <c r="E755" s="37">
        <v>978.0</v>
      </c>
      <c r="F755" s="37">
        <v>202.72</v>
      </c>
      <c r="G755" s="39">
        <v>7086.17</v>
      </c>
      <c r="H755" s="37" t="s">
        <v>61</v>
      </c>
      <c r="I755" s="52" t="s">
        <v>38</v>
      </c>
      <c r="J755" s="37" t="str">
        <f t="shared" si="4"/>
        <v>No</v>
      </c>
      <c r="K755" s="35"/>
      <c r="L755" s="35"/>
      <c r="M755" s="35"/>
      <c r="N755" s="4"/>
      <c r="O755" s="4"/>
      <c r="P755" s="50"/>
      <c r="Q755" s="50"/>
      <c r="R755" s="50"/>
      <c r="S755" s="51"/>
      <c r="T755" s="4"/>
      <c r="U755" s="4"/>
    </row>
    <row r="756" ht="18.0" customHeight="1">
      <c r="A756" s="35"/>
      <c r="B756" s="37" t="s">
        <v>1084</v>
      </c>
      <c r="C756" s="38">
        <v>44802.0</v>
      </c>
      <c r="D756" s="37">
        <v>7.0</v>
      </c>
      <c r="E756" s="37">
        <v>259.0</v>
      </c>
      <c r="F756" s="37">
        <v>152.19</v>
      </c>
      <c r="G756" s="39">
        <v>8359.53</v>
      </c>
      <c r="H756" s="37" t="s">
        <v>63</v>
      </c>
      <c r="I756" s="52" t="s">
        <v>42</v>
      </c>
      <c r="J756" s="37" t="str">
        <f t="shared" si="4"/>
        <v>No</v>
      </c>
      <c r="K756" s="35"/>
      <c r="L756" s="35"/>
      <c r="M756" s="35"/>
      <c r="N756" s="4"/>
      <c r="O756" s="4"/>
      <c r="P756" s="50"/>
      <c r="Q756" s="50"/>
      <c r="R756" s="50"/>
      <c r="S756" s="51"/>
      <c r="T756" s="4"/>
      <c r="U756" s="4"/>
    </row>
    <row r="757" ht="18.0" customHeight="1">
      <c r="A757" s="35"/>
      <c r="B757" s="37" t="s">
        <v>1085</v>
      </c>
      <c r="C757" s="38">
        <v>44739.0</v>
      </c>
      <c r="D757" s="37">
        <v>89.0</v>
      </c>
      <c r="E757" s="37">
        <v>586.0</v>
      </c>
      <c r="F757" s="37">
        <v>21.91</v>
      </c>
      <c r="G757" s="39">
        <v>3877.45</v>
      </c>
      <c r="H757" s="37" t="s">
        <v>66</v>
      </c>
      <c r="I757" s="52" t="s">
        <v>42</v>
      </c>
      <c r="J757" s="37" t="str">
        <f t="shared" si="4"/>
        <v>No</v>
      </c>
      <c r="K757" s="35"/>
      <c r="L757" s="35"/>
      <c r="M757" s="35"/>
      <c r="N757" s="4"/>
      <c r="O757" s="4"/>
      <c r="P757" s="50"/>
      <c r="Q757" s="50"/>
      <c r="R757" s="50"/>
      <c r="S757" s="51"/>
      <c r="T757" s="4"/>
      <c r="U757" s="4"/>
    </row>
    <row r="758" ht="18.0" customHeight="1">
      <c r="A758" s="35"/>
      <c r="B758" s="37" t="s">
        <v>1086</v>
      </c>
      <c r="C758" s="38">
        <v>44661.0</v>
      </c>
      <c r="D758" s="37">
        <v>34.0</v>
      </c>
      <c r="E758" s="37">
        <v>366.0</v>
      </c>
      <c r="F758" s="37">
        <v>189.26</v>
      </c>
      <c r="G758" s="39">
        <v>4759.42</v>
      </c>
      <c r="H758" s="37" t="s">
        <v>68</v>
      </c>
      <c r="I758" s="52" t="s">
        <v>38</v>
      </c>
      <c r="J758" s="37" t="str">
        <f t="shared" si="4"/>
        <v>No</v>
      </c>
      <c r="K758" s="35"/>
      <c r="L758" s="35"/>
      <c r="M758" s="35"/>
      <c r="N758" s="4"/>
      <c r="O758" s="4"/>
      <c r="P758" s="50"/>
      <c r="Q758" s="50"/>
      <c r="R758" s="50"/>
      <c r="S758" s="51"/>
      <c r="T758" s="4"/>
      <c r="U758" s="4"/>
    </row>
    <row r="759" ht="18.0" customHeight="1">
      <c r="A759" s="35"/>
      <c r="B759" s="37" t="s">
        <v>1087</v>
      </c>
      <c r="C759" s="38">
        <v>44846.0</v>
      </c>
      <c r="D759" s="37">
        <v>92.0</v>
      </c>
      <c r="E759" s="37">
        <v>276.0</v>
      </c>
      <c r="F759" s="37">
        <v>29.42</v>
      </c>
      <c r="G759" s="39">
        <v>280.66</v>
      </c>
      <c r="H759" s="37" t="s">
        <v>71</v>
      </c>
      <c r="I759" s="52" t="s">
        <v>50</v>
      </c>
      <c r="J759" s="37" t="str">
        <f t="shared" si="4"/>
        <v>No</v>
      </c>
      <c r="K759" s="35"/>
      <c r="L759" s="35"/>
      <c r="M759" s="35"/>
      <c r="N759" s="4"/>
      <c r="O759" s="4"/>
      <c r="P759" s="50"/>
      <c r="Q759" s="50"/>
      <c r="R759" s="50"/>
      <c r="S759" s="51"/>
      <c r="T759" s="4"/>
      <c r="U759" s="4"/>
    </row>
    <row r="760" ht="18.0" customHeight="1">
      <c r="A760" s="35"/>
      <c r="B760" s="37" t="s">
        <v>1088</v>
      </c>
      <c r="C760" s="38">
        <v>44676.0</v>
      </c>
      <c r="D760" s="37">
        <v>95.0</v>
      </c>
      <c r="E760" s="37">
        <v>606.0</v>
      </c>
      <c r="F760" s="37">
        <v>209.12</v>
      </c>
      <c r="G760" s="39">
        <v>8159.3</v>
      </c>
      <c r="H760" s="37" t="s">
        <v>1089</v>
      </c>
      <c r="I760" s="52" t="s">
        <v>42</v>
      </c>
      <c r="J760" s="37" t="str">
        <f t="shared" si="4"/>
        <v>No</v>
      </c>
      <c r="K760" s="35"/>
      <c r="L760" s="35"/>
      <c r="M760" s="35"/>
      <c r="N760" s="4"/>
      <c r="O760" s="4"/>
      <c r="P760" s="50"/>
      <c r="Q760" s="50"/>
      <c r="R760" s="50"/>
      <c r="S760" s="51"/>
      <c r="T760" s="4"/>
      <c r="U760" s="4"/>
    </row>
    <row r="761" ht="18.0" customHeight="1">
      <c r="A761" s="35"/>
      <c r="B761" s="37" t="s">
        <v>1090</v>
      </c>
      <c r="C761" s="38">
        <v>44888.0</v>
      </c>
      <c r="D761" s="37">
        <v>41.0</v>
      </c>
      <c r="E761" s="37">
        <v>60.0</v>
      </c>
      <c r="F761" s="37">
        <v>111.09</v>
      </c>
      <c r="G761" s="39">
        <v>7591.25</v>
      </c>
      <c r="H761" s="37" t="s">
        <v>1091</v>
      </c>
      <c r="I761" s="52" t="s">
        <v>50</v>
      </c>
      <c r="J761" s="37" t="str">
        <f t="shared" si="4"/>
        <v>No</v>
      </c>
      <c r="K761" s="35"/>
      <c r="L761" s="35"/>
      <c r="M761" s="35"/>
      <c r="N761" s="4"/>
      <c r="O761" s="4"/>
      <c r="P761" s="50"/>
      <c r="Q761" s="50"/>
      <c r="R761" s="50"/>
      <c r="S761" s="51"/>
      <c r="T761" s="4"/>
      <c r="U761" s="4"/>
    </row>
    <row r="762" ht="18.0" customHeight="1">
      <c r="A762" s="35"/>
      <c r="B762" s="37" t="s">
        <v>1092</v>
      </c>
      <c r="C762" s="38">
        <v>44696.0</v>
      </c>
      <c r="D762" s="37">
        <v>49.0</v>
      </c>
      <c r="E762" s="37">
        <v>150.0</v>
      </c>
      <c r="F762" s="37">
        <v>82.64</v>
      </c>
      <c r="G762" s="39">
        <v>994.78</v>
      </c>
      <c r="H762" s="37" t="s">
        <v>1093</v>
      </c>
      <c r="I762" s="52" t="s">
        <v>50</v>
      </c>
      <c r="J762" s="37" t="str">
        <f t="shared" si="4"/>
        <v>No</v>
      </c>
      <c r="K762" s="35"/>
      <c r="L762" s="35"/>
      <c r="M762" s="35"/>
      <c r="N762" s="4"/>
      <c r="O762" s="4"/>
      <c r="P762" s="50"/>
      <c r="Q762" s="50"/>
      <c r="R762" s="50"/>
      <c r="S762" s="51"/>
      <c r="T762" s="4"/>
      <c r="U762" s="4"/>
    </row>
    <row r="763" ht="18.0" customHeight="1">
      <c r="A763" s="35"/>
      <c r="B763" s="37" t="s">
        <v>1094</v>
      </c>
      <c r="C763" s="38">
        <v>44779.0</v>
      </c>
      <c r="D763" s="37">
        <v>54.0</v>
      </c>
      <c r="E763" s="37">
        <v>13.0</v>
      </c>
      <c r="F763" s="37">
        <v>227.66</v>
      </c>
      <c r="G763" s="39">
        <v>4177.93</v>
      </c>
      <c r="H763" s="37" t="s">
        <v>1095</v>
      </c>
      <c r="I763" s="52" t="s">
        <v>42</v>
      </c>
      <c r="J763" s="37" t="str">
        <f t="shared" si="4"/>
        <v>No</v>
      </c>
      <c r="K763" s="35"/>
      <c r="L763" s="35"/>
      <c r="M763" s="35"/>
      <c r="N763" s="4"/>
      <c r="O763" s="4"/>
      <c r="P763" s="50"/>
      <c r="Q763" s="50"/>
      <c r="R763" s="50"/>
      <c r="S763" s="51"/>
      <c r="T763" s="4"/>
      <c r="U763" s="4"/>
    </row>
    <row r="764" ht="18.0" customHeight="1">
      <c r="A764" s="35"/>
      <c r="B764" s="37" t="s">
        <v>1096</v>
      </c>
      <c r="C764" s="38">
        <v>44611.0</v>
      </c>
      <c r="D764" s="37">
        <v>15.0</v>
      </c>
      <c r="E764" s="37">
        <v>252.0</v>
      </c>
      <c r="F764" s="37">
        <v>219.09</v>
      </c>
      <c r="G764" s="39">
        <v>1679.97</v>
      </c>
      <c r="H764" s="37" t="s">
        <v>1097</v>
      </c>
      <c r="I764" s="52" t="s">
        <v>50</v>
      </c>
      <c r="J764" s="37" t="str">
        <f t="shared" si="4"/>
        <v>No</v>
      </c>
      <c r="K764" s="35"/>
      <c r="L764" s="35"/>
      <c r="M764" s="35"/>
      <c r="N764" s="4"/>
      <c r="O764" s="4"/>
      <c r="P764" s="50"/>
      <c r="Q764" s="50"/>
      <c r="R764" s="50"/>
      <c r="S764" s="51"/>
      <c r="T764" s="4"/>
      <c r="U764" s="4"/>
    </row>
    <row r="765" ht="18.0" customHeight="1">
      <c r="A765" s="35"/>
      <c r="B765" s="37" t="s">
        <v>1098</v>
      </c>
      <c r="C765" s="38">
        <v>44882.0</v>
      </c>
      <c r="D765" s="37">
        <v>28.0</v>
      </c>
      <c r="E765" s="37">
        <v>412.0</v>
      </c>
      <c r="F765" s="37">
        <v>30.49</v>
      </c>
      <c r="G765" s="39">
        <v>5208.55</v>
      </c>
      <c r="H765" s="37" t="s">
        <v>1099</v>
      </c>
      <c r="I765" s="52" t="s">
        <v>50</v>
      </c>
      <c r="J765" s="37" t="str">
        <f t="shared" si="4"/>
        <v>No</v>
      </c>
      <c r="K765" s="35"/>
      <c r="L765" s="35"/>
      <c r="M765" s="35"/>
      <c r="N765" s="4"/>
      <c r="O765" s="4"/>
      <c r="P765" s="50"/>
      <c r="Q765" s="50"/>
      <c r="R765" s="50"/>
      <c r="S765" s="51"/>
      <c r="T765" s="4"/>
      <c r="U765" s="4"/>
    </row>
    <row r="766" ht="18.0" customHeight="1">
      <c r="A766" s="35"/>
      <c r="B766" s="37" t="s">
        <v>1100</v>
      </c>
      <c r="C766" s="38">
        <v>44636.0</v>
      </c>
      <c r="D766" s="37">
        <v>90.0</v>
      </c>
      <c r="E766" s="37">
        <v>685.0</v>
      </c>
      <c r="F766" s="37">
        <v>234.62</v>
      </c>
      <c r="G766" s="39">
        <v>2585.78</v>
      </c>
      <c r="H766" s="37" t="s">
        <v>87</v>
      </c>
      <c r="I766" s="52" t="s">
        <v>50</v>
      </c>
      <c r="J766" s="37" t="str">
        <f t="shared" si="4"/>
        <v>No</v>
      </c>
      <c r="K766" s="35"/>
      <c r="L766" s="35"/>
      <c r="M766" s="35"/>
      <c r="N766" s="4"/>
      <c r="O766" s="4"/>
      <c r="P766" s="50"/>
      <c r="Q766" s="50"/>
      <c r="R766" s="50"/>
      <c r="S766" s="51"/>
      <c r="T766" s="4"/>
      <c r="U766" s="4"/>
    </row>
    <row r="767" ht="18.0" customHeight="1">
      <c r="A767" s="35"/>
      <c r="B767" s="37" t="s">
        <v>1101</v>
      </c>
      <c r="C767" s="38">
        <v>44647.0</v>
      </c>
      <c r="D767" s="37">
        <v>32.0</v>
      </c>
      <c r="E767" s="37">
        <v>310.0</v>
      </c>
      <c r="F767" s="37">
        <v>86.52</v>
      </c>
      <c r="G767" s="39">
        <v>3254.93</v>
      </c>
      <c r="H767" s="37" t="s">
        <v>37</v>
      </c>
      <c r="I767" s="52" t="s">
        <v>50</v>
      </c>
      <c r="J767" s="37" t="str">
        <f t="shared" si="4"/>
        <v>No</v>
      </c>
      <c r="K767" s="35"/>
      <c r="L767" s="35"/>
      <c r="M767" s="35"/>
      <c r="N767" s="4"/>
      <c r="O767" s="4"/>
      <c r="P767" s="50"/>
      <c r="Q767" s="50"/>
      <c r="R767" s="50"/>
      <c r="S767" s="51"/>
      <c r="T767" s="4"/>
      <c r="U767" s="4"/>
    </row>
    <row r="768" ht="18.0" customHeight="1">
      <c r="A768" s="35"/>
      <c r="B768" s="37" t="s">
        <v>1102</v>
      </c>
      <c r="C768" s="38">
        <v>44854.0</v>
      </c>
      <c r="D768" s="37">
        <v>93.0</v>
      </c>
      <c r="E768" s="37">
        <v>920.0</v>
      </c>
      <c r="F768" s="37">
        <v>126.21</v>
      </c>
      <c r="G768" s="39">
        <v>6227.46</v>
      </c>
      <c r="H768" s="37" t="s">
        <v>41</v>
      </c>
      <c r="I768" s="52" t="s">
        <v>50</v>
      </c>
      <c r="J768" s="37" t="str">
        <f t="shared" si="4"/>
        <v>No</v>
      </c>
      <c r="K768" s="35"/>
      <c r="L768" s="35"/>
      <c r="M768" s="35"/>
      <c r="N768" s="4"/>
      <c r="O768" s="4"/>
      <c r="P768" s="50"/>
      <c r="Q768" s="50"/>
      <c r="R768" s="50"/>
      <c r="S768" s="51"/>
      <c r="T768" s="4"/>
      <c r="U768" s="4"/>
    </row>
    <row r="769" ht="18.0" customHeight="1">
      <c r="A769" s="35"/>
      <c r="B769" s="37" t="s">
        <v>40</v>
      </c>
      <c r="C769" s="38">
        <v>44850.0</v>
      </c>
      <c r="D769" s="37">
        <v>33.0</v>
      </c>
      <c r="E769" s="37">
        <v>654.0</v>
      </c>
      <c r="F769" s="37">
        <v>218.36</v>
      </c>
      <c r="G769" s="39">
        <v>794.79</v>
      </c>
      <c r="H769" s="37" t="s">
        <v>45</v>
      </c>
      <c r="I769" s="52" t="s">
        <v>50</v>
      </c>
      <c r="J769" s="37" t="str">
        <f t="shared" si="4"/>
        <v>No</v>
      </c>
      <c r="K769" s="35"/>
      <c r="L769" s="35"/>
      <c r="M769" s="35"/>
      <c r="N769" s="4"/>
      <c r="O769" s="4"/>
      <c r="P769" s="50"/>
      <c r="Q769" s="50"/>
      <c r="R769" s="50"/>
      <c r="S769" s="51"/>
      <c r="T769" s="4"/>
      <c r="U769" s="4"/>
    </row>
    <row r="770" ht="18.0" customHeight="1">
      <c r="A770" s="35"/>
      <c r="B770" s="37" t="s">
        <v>1103</v>
      </c>
      <c r="C770" s="38">
        <v>44805.0</v>
      </c>
      <c r="D770" s="37">
        <v>93.0</v>
      </c>
      <c r="E770" s="37">
        <v>177.0</v>
      </c>
      <c r="F770" s="37">
        <v>231.4</v>
      </c>
      <c r="G770" s="39">
        <v>3331.33</v>
      </c>
      <c r="H770" s="37" t="s">
        <v>49</v>
      </c>
      <c r="I770" s="52" t="s">
        <v>50</v>
      </c>
      <c r="J770" s="37" t="str">
        <f t="shared" si="4"/>
        <v>No</v>
      </c>
      <c r="K770" s="35"/>
      <c r="L770" s="35"/>
      <c r="M770" s="35"/>
      <c r="N770" s="4"/>
      <c r="O770" s="4"/>
      <c r="P770" s="50"/>
      <c r="Q770" s="50"/>
      <c r="R770" s="50"/>
      <c r="S770" s="51"/>
      <c r="T770" s="4"/>
      <c r="U770" s="4"/>
    </row>
    <row r="771" ht="18.0" customHeight="1">
      <c r="A771" s="35"/>
      <c r="B771" s="37" t="s">
        <v>1104</v>
      </c>
      <c r="C771" s="38">
        <v>44912.0</v>
      </c>
      <c r="D771" s="37">
        <v>2.0</v>
      </c>
      <c r="E771" s="37">
        <v>367.0</v>
      </c>
      <c r="F771" s="37">
        <v>189.02</v>
      </c>
      <c r="G771" s="39">
        <v>1770.23</v>
      </c>
      <c r="H771" s="37" t="s">
        <v>53</v>
      </c>
      <c r="I771" s="52" t="s">
        <v>42</v>
      </c>
      <c r="J771" s="37" t="str">
        <f t="shared" si="4"/>
        <v>No</v>
      </c>
      <c r="K771" s="35"/>
      <c r="L771" s="35"/>
      <c r="M771" s="35"/>
      <c r="N771" s="4"/>
      <c r="O771" s="4"/>
      <c r="P771" s="50"/>
      <c r="Q771" s="50"/>
      <c r="R771" s="50"/>
      <c r="S771" s="51"/>
      <c r="T771" s="4"/>
      <c r="U771" s="4"/>
    </row>
    <row r="772" ht="18.0" customHeight="1">
      <c r="A772" s="35"/>
      <c r="B772" s="37" t="s">
        <v>1105</v>
      </c>
      <c r="C772" s="38">
        <v>44649.0</v>
      </c>
      <c r="D772" s="37">
        <v>30.0</v>
      </c>
      <c r="E772" s="37">
        <v>266.0</v>
      </c>
      <c r="F772" s="37">
        <v>152.93</v>
      </c>
      <c r="G772" s="39">
        <v>9665.74</v>
      </c>
      <c r="H772" s="37" t="s">
        <v>56</v>
      </c>
      <c r="I772" s="52" t="s">
        <v>50</v>
      </c>
      <c r="J772" s="37" t="str">
        <f t="shared" si="4"/>
        <v>No</v>
      </c>
      <c r="K772" s="35"/>
      <c r="L772" s="35"/>
      <c r="M772" s="35"/>
      <c r="N772" s="4"/>
      <c r="O772" s="4"/>
      <c r="P772" s="50"/>
      <c r="Q772" s="50"/>
      <c r="R772" s="50"/>
      <c r="S772" s="51"/>
      <c r="T772" s="4"/>
      <c r="U772" s="4"/>
    </row>
    <row r="773" ht="18.0" customHeight="1">
      <c r="A773" s="35"/>
      <c r="B773" s="37" t="s">
        <v>1106</v>
      </c>
      <c r="C773" s="38">
        <v>44906.0</v>
      </c>
      <c r="D773" s="37">
        <v>7.0</v>
      </c>
      <c r="E773" s="37">
        <v>437.0</v>
      </c>
      <c r="F773" s="37">
        <v>240.43</v>
      </c>
      <c r="G773" s="39">
        <v>9002.03</v>
      </c>
      <c r="H773" s="37" t="s">
        <v>59</v>
      </c>
      <c r="I773" s="52" t="s">
        <v>42</v>
      </c>
      <c r="J773" s="37" t="str">
        <f t="shared" si="4"/>
        <v>Yes</v>
      </c>
      <c r="K773" s="35"/>
      <c r="L773" s="35"/>
      <c r="M773" s="35"/>
      <c r="N773" s="4"/>
      <c r="O773" s="4"/>
      <c r="P773" s="50"/>
      <c r="Q773" s="50"/>
      <c r="R773" s="50"/>
      <c r="S773" s="51"/>
      <c r="T773" s="4"/>
      <c r="U773" s="4"/>
    </row>
    <row r="774" ht="18.0" customHeight="1">
      <c r="A774" s="35"/>
      <c r="B774" s="37" t="s">
        <v>1107</v>
      </c>
      <c r="C774" s="38">
        <v>44637.0</v>
      </c>
      <c r="D774" s="37">
        <v>69.0</v>
      </c>
      <c r="E774" s="37">
        <v>836.0</v>
      </c>
      <c r="F774" s="37">
        <v>241.15</v>
      </c>
      <c r="G774" s="39">
        <v>2444.7</v>
      </c>
      <c r="H774" s="37" t="s">
        <v>61</v>
      </c>
      <c r="I774" s="52" t="s">
        <v>38</v>
      </c>
      <c r="J774" s="37" t="str">
        <f t="shared" si="4"/>
        <v>No</v>
      </c>
      <c r="K774" s="35"/>
      <c r="L774" s="35"/>
      <c r="M774" s="35"/>
      <c r="N774" s="4"/>
      <c r="O774" s="4"/>
      <c r="P774" s="50"/>
      <c r="Q774" s="50"/>
      <c r="R774" s="50"/>
      <c r="S774" s="51"/>
      <c r="T774" s="4"/>
      <c r="U774" s="4"/>
    </row>
    <row r="775" ht="18.0" customHeight="1">
      <c r="A775" s="35"/>
      <c r="B775" s="37" t="s">
        <v>1108</v>
      </c>
      <c r="C775" s="38">
        <v>44565.0</v>
      </c>
      <c r="D775" s="37">
        <v>54.0</v>
      </c>
      <c r="E775" s="37">
        <v>910.0</v>
      </c>
      <c r="F775" s="37">
        <v>139.92</v>
      </c>
      <c r="G775" s="39">
        <v>3504.79</v>
      </c>
      <c r="H775" s="37" t="s">
        <v>63</v>
      </c>
      <c r="I775" s="52" t="s">
        <v>42</v>
      </c>
      <c r="J775" s="37" t="str">
        <f t="shared" si="4"/>
        <v>No</v>
      </c>
      <c r="K775" s="35"/>
      <c r="L775" s="35"/>
      <c r="M775" s="35"/>
      <c r="N775" s="4"/>
      <c r="O775" s="4"/>
      <c r="P775" s="50"/>
      <c r="Q775" s="50"/>
      <c r="R775" s="50"/>
      <c r="S775" s="51"/>
      <c r="T775" s="4"/>
      <c r="U775" s="4"/>
    </row>
    <row r="776" ht="18.0" customHeight="1">
      <c r="A776" s="35"/>
      <c r="B776" s="37" t="s">
        <v>1109</v>
      </c>
      <c r="C776" s="38">
        <v>44689.0</v>
      </c>
      <c r="D776" s="37">
        <v>72.0</v>
      </c>
      <c r="E776" s="37">
        <v>978.0</v>
      </c>
      <c r="F776" s="37">
        <v>142.48</v>
      </c>
      <c r="G776" s="39">
        <v>6850.13</v>
      </c>
      <c r="H776" s="37" t="s">
        <v>66</v>
      </c>
      <c r="I776" s="52" t="s">
        <v>38</v>
      </c>
      <c r="J776" s="37" t="str">
        <f t="shared" si="4"/>
        <v>No</v>
      </c>
      <c r="K776" s="35"/>
      <c r="L776" s="35"/>
      <c r="M776" s="35"/>
      <c r="N776" s="4"/>
      <c r="O776" s="4"/>
      <c r="P776" s="50"/>
      <c r="Q776" s="50"/>
      <c r="R776" s="50"/>
      <c r="S776" s="51"/>
      <c r="T776" s="4"/>
      <c r="U776" s="4"/>
    </row>
    <row r="777" ht="18.0" customHeight="1">
      <c r="A777" s="35"/>
      <c r="B777" s="37" t="s">
        <v>1110</v>
      </c>
      <c r="C777" s="38">
        <v>44821.0</v>
      </c>
      <c r="D777" s="37">
        <v>17.0</v>
      </c>
      <c r="E777" s="37">
        <v>545.0</v>
      </c>
      <c r="F777" s="37">
        <v>130.34</v>
      </c>
      <c r="G777" s="39">
        <v>7430.7</v>
      </c>
      <c r="H777" s="37" t="s">
        <v>68</v>
      </c>
      <c r="I777" s="52" t="s">
        <v>42</v>
      </c>
      <c r="J777" s="37" t="str">
        <f t="shared" si="4"/>
        <v>No</v>
      </c>
      <c r="K777" s="35"/>
      <c r="L777" s="35"/>
      <c r="M777" s="35"/>
      <c r="N777" s="4"/>
      <c r="O777" s="4"/>
      <c r="P777" s="50"/>
      <c r="Q777" s="50"/>
      <c r="R777" s="50"/>
      <c r="S777" s="51"/>
      <c r="T777" s="4"/>
      <c r="U777" s="4"/>
    </row>
    <row r="778" ht="18.0" customHeight="1">
      <c r="A778" s="35"/>
      <c r="B778" s="37" t="s">
        <v>1111</v>
      </c>
      <c r="C778" s="38">
        <v>44570.0</v>
      </c>
      <c r="D778" s="37">
        <v>49.0</v>
      </c>
      <c r="E778" s="37">
        <v>80.0</v>
      </c>
      <c r="F778" s="37">
        <v>109.91</v>
      </c>
      <c r="G778" s="39">
        <v>9501.71</v>
      </c>
      <c r="H778" s="37" t="s">
        <v>71</v>
      </c>
      <c r="I778" s="52" t="s">
        <v>50</v>
      </c>
      <c r="J778" s="37" t="str">
        <f t="shared" si="4"/>
        <v>No</v>
      </c>
      <c r="K778" s="35"/>
      <c r="L778" s="35"/>
      <c r="M778" s="35"/>
      <c r="N778" s="4"/>
      <c r="O778" s="4"/>
      <c r="P778" s="50"/>
      <c r="Q778" s="50"/>
      <c r="R778" s="50"/>
      <c r="S778" s="51"/>
      <c r="T778" s="4"/>
      <c r="U778" s="4"/>
    </row>
    <row r="779" ht="18.0" customHeight="1">
      <c r="A779" s="35"/>
      <c r="B779" s="37" t="s">
        <v>1112</v>
      </c>
      <c r="C779" s="38">
        <v>44771.0</v>
      </c>
      <c r="D779" s="37">
        <v>18.0</v>
      </c>
      <c r="E779" s="37">
        <v>737.0</v>
      </c>
      <c r="F779" s="37">
        <v>82.03</v>
      </c>
      <c r="G779" s="39">
        <v>4835.5</v>
      </c>
      <c r="H779" s="37" t="s">
        <v>1113</v>
      </c>
      <c r="I779" s="52" t="s">
        <v>38</v>
      </c>
      <c r="J779" s="37" t="str">
        <f t="shared" si="4"/>
        <v>No</v>
      </c>
      <c r="K779" s="35"/>
      <c r="L779" s="35"/>
      <c r="M779" s="35"/>
      <c r="N779" s="4"/>
      <c r="O779" s="4"/>
      <c r="P779" s="50"/>
      <c r="Q779" s="50"/>
      <c r="R779" s="50"/>
      <c r="S779" s="51"/>
      <c r="T779" s="4"/>
      <c r="U779" s="4"/>
    </row>
    <row r="780" ht="18.0" customHeight="1">
      <c r="A780" s="35"/>
      <c r="B780" s="37" t="s">
        <v>1114</v>
      </c>
      <c r="C780" s="38">
        <v>44569.0</v>
      </c>
      <c r="D780" s="37">
        <v>96.0</v>
      </c>
      <c r="E780" s="37">
        <v>255.0</v>
      </c>
      <c r="F780" s="37">
        <v>170.61</v>
      </c>
      <c r="G780" s="39">
        <v>6278.51</v>
      </c>
      <c r="H780" s="37" t="s">
        <v>1115</v>
      </c>
      <c r="I780" s="52" t="s">
        <v>50</v>
      </c>
      <c r="J780" s="37" t="str">
        <f t="shared" si="4"/>
        <v>No</v>
      </c>
      <c r="K780" s="35"/>
      <c r="L780" s="35"/>
      <c r="M780" s="35"/>
      <c r="N780" s="4"/>
      <c r="O780" s="4"/>
      <c r="P780" s="50"/>
      <c r="Q780" s="50"/>
      <c r="R780" s="50"/>
      <c r="S780" s="51"/>
      <c r="T780" s="4"/>
      <c r="U780" s="4"/>
    </row>
    <row r="781" ht="18.0" customHeight="1">
      <c r="A781" s="35"/>
      <c r="B781" s="37" t="s">
        <v>1116</v>
      </c>
      <c r="C781" s="38">
        <v>44745.0</v>
      </c>
      <c r="D781" s="37">
        <v>3.0</v>
      </c>
      <c r="E781" s="37">
        <v>318.0</v>
      </c>
      <c r="F781" s="37">
        <v>214.28</v>
      </c>
      <c r="G781" s="39">
        <v>3124.31</v>
      </c>
      <c r="H781" s="37" t="s">
        <v>1117</v>
      </c>
      <c r="I781" s="52" t="s">
        <v>38</v>
      </c>
      <c r="J781" s="37" t="str">
        <f t="shared" si="4"/>
        <v>No</v>
      </c>
      <c r="K781" s="35"/>
      <c r="L781" s="35"/>
      <c r="M781" s="35"/>
      <c r="N781" s="4"/>
      <c r="O781" s="4"/>
      <c r="P781" s="50"/>
      <c r="Q781" s="50"/>
      <c r="R781" s="50"/>
      <c r="S781" s="51"/>
      <c r="T781" s="4"/>
      <c r="U781" s="4"/>
    </row>
    <row r="782" ht="18.0" customHeight="1">
      <c r="A782" s="35"/>
      <c r="B782" s="37" t="s">
        <v>1118</v>
      </c>
      <c r="C782" s="38">
        <v>44655.0</v>
      </c>
      <c r="D782" s="37">
        <v>42.0</v>
      </c>
      <c r="E782" s="37">
        <v>433.0</v>
      </c>
      <c r="F782" s="37">
        <v>108.77</v>
      </c>
      <c r="G782" s="39">
        <v>7884.19</v>
      </c>
      <c r="H782" s="37" t="s">
        <v>1119</v>
      </c>
      <c r="I782" s="52" t="s">
        <v>38</v>
      </c>
      <c r="J782" s="37" t="str">
        <f t="shared" si="4"/>
        <v>No</v>
      </c>
      <c r="K782" s="35"/>
      <c r="L782" s="35"/>
      <c r="M782" s="35"/>
      <c r="N782" s="4"/>
      <c r="O782" s="4"/>
      <c r="P782" s="50"/>
      <c r="Q782" s="50"/>
      <c r="R782" s="50"/>
      <c r="S782" s="51"/>
      <c r="T782" s="4"/>
      <c r="U782" s="4"/>
    </row>
    <row r="783" ht="18.0" customHeight="1">
      <c r="A783" s="35"/>
      <c r="B783" s="37" t="s">
        <v>1120</v>
      </c>
      <c r="C783" s="38">
        <v>44901.0</v>
      </c>
      <c r="D783" s="37">
        <v>44.0</v>
      </c>
      <c r="E783" s="37">
        <v>308.0</v>
      </c>
      <c r="F783" s="37">
        <v>57.05</v>
      </c>
      <c r="G783" s="39">
        <v>2557.98</v>
      </c>
      <c r="H783" s="37" t="s">
        <v>1121</v>
      </c>
      <c r="I783" s="52" t="s">
        <v>42</v>
      </c>
      <c r="J783" s="37" t="str">
        <f t="shared" si="4"/>
        <v>No</v>
      </c>
      <c r="K783" s="35"/>
      <c r="L783" s="35"/>
      <c r="M783" s="35"/>
      <c r="N783" s="4"/>
      <c r="O783" s="4"/>
      <c r="P783" s="50"/>
      <c r="Q783" s="50"/>
      <c r="R783" s="50"/>
      <c r="S783" s="51"/>
      <c r="T783" s="4"/>
      <c r="U783" s="4"/>
    </row>
    <row r="784" ht="18.0" customHeight="1">
      <c r="A784" s="35"/>
      <c r="B784" s="37" t="s">
        <v>1122</v>
      </c>
      <c r="C784" s="38">
        <v>44577.0</v>
      </c>
      <c r="D784" s="37">
        <v>45.0</v>
      </c>
      <c r="E784" s="37">
        <v>102.0</v>
      </c>
      <c r="F784" s="37">
        <v>205.3</v>
      </c>
      <c r="G784" s="39">
        <v>249.2</v>
      </c>
      <c r="H784" s="37" t="s">
        <v>1123</v>
      </c>
      <c r="I784" s="52" t="s">
        <v>38</v>
      </c>
      <c r="J784" s="37" t="str">
        <f t="shared" si="4"/>
        <v>No</v>
      </c>
      <c r="K784" s="35"/>
      <c r="L784" s="35"/>
      <c r="M784" s="35"/>
      <c r="N784" s="4"/>
      <c r="O784" s="4"/>
      <c r="P784" s="50"/>
      <c r="Q784" s="50"/>
      <c r="R784" s="50"/>
      <c r="S784" s="51"/>
      <c r="T784" s="4"/>
      <c r="U784" s="4"/>
    </row>
    <row r="785" ht="18.0" customHeight="1">
      <c r="A785" s="35"/>
      <c r="B785" s="37" t="s">
        <v>17</v>
      </c>
      <c r="C785" s="38">
        <v>44877.0</v>
      </c>
      <c r="D785" s="37">
        <v>72.0</v>
      </c>
      <c r="E785" s="37">
        <v>983.0</v>
      </c>
      <c r="F785" s="37">
        <v>16.63</v>
      </c>
      <c r="G785" s="39">
        <v>5459.41</v>
      </c>
      <c r="H785" s="37" t="s">
        <v>87</v>
      </c>
      <c r="I785" s="52" t="s">
        <v>42</v>
      </c>
      <c r="J785" s="37" t="str">
        <f t="shared" si="4"/>
        <v>No</v>
      </c>
      <c r="K785" s="35"/>
      <c r="L785" s="35"/>
      <c r="M785" s="35"/>
      <c r="N785" s="4"/>
      <c r="O785" s="4"/>
      <c r="P785" s="50"/>
      <c r="Q785" s="50"/>
      <c r="R785" s="50"/>
      <c r="S785" s="51"/>
      <c r="T785" s="4"/>
      <c r="U785" s="4"/>
    </row>
    <row r="786" ht="18.0" customHeight="1">
      <c r="A786" s="35"/>
      <c r="B786" s="37" t="s">
        <v>1124</v>
      </c>
      <c r="C786" s="38">
        <v>44856.0</v>
      </c>
      <c r="D786" s="37">
        <v>21.0</v>
      </c>
      <c r="E786" s="37">
        <v>232.0</v>
      </c>
      <c r="F786" s="37">
        <v>201.16</v>
      </c>
      <c r="G786" s="39">
        <v>8441.39</v>
      </c>
      <c r="H786" s="37" t="s">
        <v>37</v>
      </c>
      <c r="I786" s="52" t="s">
        <v>50</v>
      </c>
      <c r="J786" s="37" t="str">
        <f t="shared" si="4"/>
        <v>No</v>
      </c>
      <c r="K786" s="35"/>
      <c r="L786" s="35"/>
      <c r="M786" s="35"/>
      <c r="N786" s="4"/>
      <c r="O786" s="4"/>
      <c r="P786" s="50"/>
      <c r="Q786" s="50"/>
      <c r="R786" s="50"/>
      <c r="S786" s="51"/>
      <c r="T786" s="4"/>
      <c r="U786" s="4"/>
    </row>
    <row r="787" ht="18.0" customHeight="1">
      <c r="A787" s="35"/>
      <c r="B787" s="37" t="s">
        <v>1125</v>
      </c>
      <c r="C787" s="38">
        <v>44628.0</v>
      </c>
      <c r="D787" s="37">
        <v>73.0</v>
      </c>
      <c r="E787" s="37">
        <v>434.0</v>
      </c>
      <c r="F787" s="37">
        <v>90.46</v>
      </c>
      <c r="G787" s="39">
        <v>7762.33</v>
      </c>
      <c r="H787" s="37" t="s">
        <v>41</v>
      </c>
      <c r="I787" s="52" t="s">
        <v>50</v>
      </c>
      <c r="J787" s="37" t="str">
        <f t="shared" si="4"/>
        <v>No</v>
      </c>
      <c r="K787" s="35"/>
      <c r="L787" s="35"/>
      <c r="M787" s="35"/>
      <c r="N787" s="4"/>
      <c r="O787" s="4"/>
      <c r="P787" s="50"/>
      <c r="Q787" s="50"/>
      <c r="R787" s="50"/>
      <c r="S787" s="51"/>
      <c r="T787" s="4"/>
      <c r="U787" s="4"/>
    </row>
    <row r="788" ht="18.0" customHeight="1">
      <c r="A788" s="35"/>
      <c r="B788" s="37" t="s">
        <v>1126</v>
      </c>
      <c r="C788" s="38">
        <v>44604.0</v>
      </c>
      <c r="D788" s="37">
        <v>17.0</v>
      </c>
      <c r="E788" s="37">
        <v>820.0</v>
      </c>
      <c r="F788" s="37">
        <v>200.73</v>
      </c>
      <c r="G788" s="39">
        <v>3261.49</v>
      </c>
      <c r="H788" s="37" t="s">
        <v>45</v>
      </c>
      <c r="I788" s="52" t="s">
        <v>42</v>
      </c>
      <c r="J788" s="37" t="str">
        <f t="shared" si="4"/>
        <v>No</v>
      </c>
      <c r="K788" s="35"/>
      <c r="L788" s="35"/>
      <c r="M788" s="35"/>
      <c r="N788" s="4"/>
      <c r="O788" s="4"/>
      <c r="P788" s="50"/>
      <c r="Q788" s="50"/>
      <c r="R788" s="50"/>
      <c r="S788" s="51"/>
      <c r="T788" s="4"/>
      <c r="U788" s="4"/>
    </row>
    <row r="789" ht="18.0" customHeight="1">
      <c r="A789" s="35"/>
      <c r="B789" s="37" t="s">
        <v>1127</v>
      </c>
      <c r="C789" s="38">
        <v>44623.0</v>
      </c>
      <c r="D789" s="37">
        <v>90.0</v>
      </c>
      <c r="E789" s="37">
        <v>197.0</v>
      </c>
      <c r="F789" s="37">
        <v>15.34</v>
      </c>
      <c r="G789" s="39">
        <v>3562.94</v>
      </c>
      <c r="H789" s="37" t="s">
        <v>49</v>
      </c>
      <c r="I789" s="52" t="s">
        <v>50</v>
      </c>
      <c r="J789" s="37" t="str">
        <f t="shared" si="4"/>
        <v>No</v>
      </c>
      <c r="K789" s="35"/>
      <c r="L789" s="35"/>
      <c r="M789" s="35"/>
      <c r="N789" s="4"/>
      <c r="O789" s="4"/>
      <c r="P789" s="50"/>
      <c r="Q789" s="50"/>
      <c r="R789" s="50"/>
      <c r="S789" s="51"/>
      <c r="T789" s="4"/>
      <c r="U789" s="4"/>
    </row>
    <row r="790" ht="18.0" customHeight="1">
      <c r="A790" s="35"/>
      <c r="B790" s="37" t="s">
        <v>1128</v>
      </c>
      <c r="C790" s="38">
        <v>44667.0</v>
      </c>
      <c r="D790" s="37">
        <v>5.0</v>
      </c>
      <c r="E790" s="37">
        <v>186.0</v>
      </c>
      <c r="F790" s="37">
        <v>234.18</v>
      </c>
      <c r="G790" s="39">
        <v>9218.68</v>
      </c>
      <c r="H790" s="37" t="s">
        <v>53</v>
      </c>
      <c r="I790" s="52" t="s">
        <v>50</v>
      </c>
      <c r="J790" s="37" t="str">
        <f t="shared" si="4"/>
        <v>No</v>
      </c>
      <c r="K790" s="35"/>
      <c r="L790" s="35"/>
      <c r="M790" s="35"/>
      <c r="N790" s="4"/>
      <c r="O790" s="4"/>
      <c r="P790" s="50"/>
      <c r="Q790" s="50"/>
      <c r="R790" s="50"/>
      <c r="S790" s="51"/>
      <c r="T790" s="4"/>
      <c r="U790" s="4"/>
    </row>
    <row r="791" ht="18.0" customHeight="1">
      <c r="A791" s="35"/>
      <c r="B791" s="37" t="s">
        <v>1129</v>
      </c>
      <c r="C791" s="38">
        <v>44654.0</v>
      </c>
      <c r="D791" s="37">
        <v>23.0</v>
      </c>
      <c r="E791" s="37">
        <v>80.0</v>
      </c>
      <c r="F791" s="37">
        <v>92.44</v>
      </c>
      <c r="G791" s="39">
        <v>3076.54</v>
      </c>
      <c r="H791" s="37" t="s">
        <v>56</v>
      </c>
      <c r="I791" s="52" t="s">
        <v>50</v>
      </c>
      <c r="J791" s="37" t="str">
        <f t="shared" si="4"/>
        <v>No</v>
      </c>
      <c r="K791" s="35"/>
      <c r="L791" s="35"/>
      <c r="M791" s="35"/>
      <c r="N791" s="4"/>
      <c r="O791" s="4"/>
      <c r="P791" s="50"/>
      <c r="Q791" s="50"/>
      <c r="R791" s="50"/>
      <c r="S791" s="51"/>
      <c r="T791" s="4"/>
      <c r="U791" s="4"/>
    </row>
    <row r="792" ht="18.0" customHeight="1">
      <c r="A792" s="35"/>
      <c r="B792" s="37" t="s">
        <v>1130</v>
      </c>
      <c r="C792" s="38">
        <v>44669.0</v>
      </c>
      <c r="D792" s="37">
        <v>72.0</v>
      </c>
      <c r="E792" s="37">
        <v>322.0</v>
      </c>
      <c r="F792" s="37">
        <v>57.54</v>
      </c>
      <c r="G792" s="39">
        <v>8137.11</v>
      </c>
      <c r="H792" s="37" t="s">
        <v>59</v>
      </c>
      <c r="I792" s="52" t="s">
        <v>38</v>
      </c>
      <c r="J792" s="37" t="str">
        <f t="shared" si="4"/>
        <v>No</v>
      </c>
      <c r="K792" s="35"/>
      <c r="L792" s="35"/>
      <c r="M792" s="35"/>
      <c r="N792" s="4"/>
      <c r="O792" s="4"/>
      <c r="P792" s="50"/>
      <c r="Q792" s="50"/>
      <c r="R792" s="50"/>
      <c r="S792" s="51"/>
      <c r="T792" s="4"/>
      <c r="U792" s="4"/>
    </row>
    <row r="793" ht="18.0" customHeight="1">
      <c r="A793" s="35"/>
      <c r="B793" s="37" t="s">
        <v>1131</v>
      </c>
      <c r="C793" s="38">
        <v>44908.0</v>
      </c>
      <c r="D793" s="37">
        <v>97.0</v>
      </c>
      <c r="E793" s="37">
        <v>542.0</v>
      </c>
      <c r="F793" s="37">
        <v>139.25</v>
      </c>
      <c r="G793" s="39">
        <v>8340.81</v>
      </c>
      <c r="H793" s="37" t="s">
        <v>61</v>
      </c>
      <c r="I793" s="52" t="s">
        <v>42</v>
      </c>
      <c r="J793" s="37" t="str">
        <f t="shared" si="4"/>
        <v>No</v>
      </c>
      <c r="K793" s="35"/>
      <c r="L793" s="35"/>
      <c r="M793" s="35"/>
      <c r="N793" s="4"/>
      <c r="O793" s="4"/>
      <c r="P793" s="50"/>
      <c r="Q793" s="50"/>
      <c r="R793" s="50"/>
      <c r="S793" s="51"/>
      <c r="T793" s="4"/>
      <c r="U793" s="4"/>
    </row>
    <row r="794" ht="18.0" customHeight="1">
      <c r="A794" s="35"/>
      <c r="B794" s="37" t="s">
        <v>1132</v>
      </c>
      <c r="C794" s="38">
        <v>44743.0</v>
      </c>
      <c r="D794" s="37">
        <v>26.0</v>
      </c>
      <c r="E794" s="37">
        <v>568.0</v>
      </c>
      <c r="F794" s="37">
        <v>99.63</v>
      </c>
      <c r="G794" s="39">
        <v>7689.84</v>
      </c>
      <c r="H794" s="37" t="s">
        <v>63</v>
      </c>
      <c r="I794" s="52" t="s">
        <v>50</v>
      </c>
      <c r="J794" s="37" t="str">
        <f t="shared" si="4"/>
        <v>No</v>
      </c>
      <c r="K794" s="35"/>
      <c r="L794" s="35"/>
      <c r="M794" s="35"/>
      <c r="N794" s="4"/>
      <c r="O794" s="4"/>
      <c r="P794" s="50"/>
      <c r="Q794" s="50"/>
      <c r="R794" s="50"/>
      <c r="S794" s="51"/>
      <c r="T794" s="4"/>
      <c r="U794" s="4"/>
    </row>
    <row r="795" ht="18.0" customHeight="1">
      <c r="A795" s="35"/>
      <c r="B795" s="37" t="s">
        <v>1133</v>
      </c>
      <c r="C795" s="38">
        <v>44860.0</v>
      </c>
      <c r="D795" s="37">
        <v>10.0</v>
      </c>
      <c r="E795" s="37">
        <v>841.0</v>
      </c>
      <c r="F795" s="37">
        <v>144.35</v>
      </c>
      <c r="G795" s="39">
        <v>1549.53</v>
      </c>
      <c r="H795" s="37" t="s">
        <v>66</v>
      </c>
      <c r="I795" s="52" t="s">
        <v>50</v>
      </c>
      <c r="J795" s="37" t="str">
        <f t="shared" si="4"/>
        <v>No</v>
      </c>
      <c r="K795" s="35"/>
      <c r="L795" s="35"/>
      <c r="M795" s="35"/>
      <c r="N795" s="4"/>
      <c r="O795" s="4"/>
      <c r="P795" s="50"/>
      <c r="Q795" s="50"/>
      <c r="R795" s="50"/>
      <c r="S795" s="51"/>
      <c r="T795" s="4"/>
      <c r="U795" s="4"/>
    </row>
    <row r="796" ht="18.0" customHeight="1">
      <c r="A796" s="35"/>
      <c r="B796" s="37" t="s">
        <v>1134</v>
      </c>
      <c r="C796" s="38">
        <v>44723.0</v>
      </c>
      <c r="D796" s="37">
        <v>53.0</v>
      </c>
      <c r="E796" s="37">
        <v>880.0</v>
      </c>
      <c r="F796" s="37">
        <v>105.22</v>
      </c>
      <c r="G796" s="39">
        <v>6278.7</v>
      </c>
      <c r="H796" s="37" t="s">
        <v>68</v>
      </c>
      <c r="I796" s="52" t="s">
        <v>42</v>
      </c>
      <c r="J796" s="37" t="str">
        <f t="shared" si="4"/>
        <v>No</v>
      </c>
      <c r="K796" s="35"/>
      <c r="L796" s="35"/>
      <c r="M796" s="35"/>
      <c r="N796" s="4"/>
      <c r="O796" s="4"/>
      <c r="P796" s="50"/>
      <c r="Q796" s="50"/>
      <c r="R796" s="50"/>
      <c r="S796" s="51"/>
      <c r="T796" s="4"/>
      <c r="U796" s="4"/>
    </row>
    <row r="797" ht="18.0" customHeight="1">
      <c r="A797" s="35"/>
      <c r="B797" s="37" t="s">
        <v>1135</v>
      </c>
      <c r="C797" s="38">
        <v>44792.0</v>
      </c>
      <c r="D797" s="37">
        <v>61.0</v>
      </c>
      <c r="E797" s="37">
        <v>51.0</v>
      </c>
      <c r="F797" s="37">
        <v>175.77</v>
      </c>
      <c r="G797" s="39">
        <v>3009.98</v>
      </c>
      <c r="H797" s="37" t="s">
        <v>71</v>
      </c>
      <c r="I797" s="52" t="s">
        <v>50</v>
      </c>
      <c r="J797" s="37" t="str">
        <f t="shared" si="4"/>
        <v>No</v>
      </c>
      <c r="K797" s="35"/>
      <c r="L797" s="35"/>
      <c r="M797" s="35"/>
      <c r="N797" s="4"/>
      <c r="O797" s="4"/>
      <c r="P797" s="50"/>
      <c r="Q797" s="50"/>
      <c r="R797" s="50"/>
      <c r="S797" s="51"/>
      <c r="T797" s="4"/>
      <c r="U797" s="4"/>
    </row>
    <row r="798" ht="18.0" customHeight="1">
      <c r="A798" s="35"/>
      <c r="B798" s="37" t="s">
        <v>1136</v>
      </c>
      <c r="C798" s="38">
        <v>44815.0</v>
      </c>
      <c r="D798" s="37">
        <v>73.0</v>
      </c>
      <c r="E798" s="37">
        <v>450.0</v>
      </c>
      <c r="F798" s="37">
        <v>127.55</v>
      </c>
      <c r="G798" s="39">
        <v>7585.06</v>
      </c>
      <c r="H798" s="37" t="s">
        <v>1137</v>
      </c>
      <c r="I798" s="52" t="s">
        <v>38</v>
      </c>
      <c r="J798" s="37" t="str">
        <f t="shared" si="4"/>
        <v>No</v>
      </c>
      <c r="K798" s="35"/>
      <c r="L798" s="35"/>
      <c r="M798" s="35"/>
      <c r="N798" s="4"/>
      <c r="O798" s="4"/>
      <c r="P798" s="50"/>
      <c r="Q798" s="50"/>
      <c r="R798" s="50"/>
      <c r="S798" s="51"/>
      <c r="T798" s="4"/>
      <c r="U798" s="4"/>
    </row>
    <row r="799" ht="18.0" customHeight="1">
      <c r="A799" s="35"/>
      <c r="B799" s="37" t="s">
        <v>1138</v>
      </c>
      <c r="C799" s="38">
        <v>44801.0</v>
      </c>
      <c r="D799" s="37">
        <v>79.0</v>
      </c>
      <c r="E799" s="37">
        <v>148.0</v>
      </c>
      <c r="F799" s="37">
        <v>13.61</v>
      </c>
      <c r="G799" s="39">
        <v>6643.88</v>
      </c>
      <c r="H799" s="37" t="s">
        <v>1139</v>
      </c>
      <c r="I799" s="52" t="s">
        <v>50</v>
      </c>
      <c r="J799" s="37" t="str">
        <f t="shared" si="4"/>
        <v>No</v>
      </c>
      <c r="K799" s="35"/>
      <c r="L799" s="35"/>
      <c r="M799" s="35"/>
      <c r="N799" s="4"/>
      <c r="O799" s="4"/>
      <c r="P799" s="50"/>
      <c r="Q799" s="50"/>
      <c r="R799" s="50"/>
      <c r="S799" s="51"/>
      <c r="T799" s="4"/>
      <c r="U799" s="4"/>
    </row>
    <row r="800" ht="18.0" customHeight="1">
      <c r="A800" s="35"/>
      <c r="B800" s="37" t="s">
        <v>1140</v>
      </c>
      <c r="C800" s="38">
        <v>44872.0</v>
      </c>
      <c r="D800" s="37">
        <v>5.0</v>
      </c>
      <c r="E800" s="37">
        <v>663.0</v>
      </c>
      <c r="F800" s="37">
        <v>234.42</v>
      </c>
      <c r="G800" s="39">
        <v>411.13</v>
      </c>
      <c r="H800" s="37" t="s">
        <v>1141</v>
      </c>
      <c r="I800" s="52" t="s">
        <v>42</v>
      </c>
      <c r="J800" s="37" t="str">
        <f t="shared" si="4"/>
        <v>No</v>
      </c>
      <c r="K800" s="35"/>
      <c r="L800" s="35"/>
      <c r="M800" s="35"/>
      <c r="N800" s="4"/>
      <c r="O800" s="4"/>
      <c r="P800" s="50"/>
      <c r="Q800" s="50"/>
      <c r="R800" s="50"/>
      <c r="S800" s="51"/>
      <c r="T800" s="4"/>
      <c r="U800" s="4"/>
    </row>
    <row r="801" ht="18.0" customHeight="1">
      <c r="A801" s="35"/>
      <c r="B801" s="37" t="s">
        <v>1142</v>
      </c>
      <c r="C801" s="38">
        <v>44887.0</v>
      </c>
      <c r="D801" s="37">
        <v>25.0</v>
      </c>
      <c r="E801" s="37">
        <v>208.0</v>
      </c>
      <c r="F801" s="37">
        <v>230.58</v>
      </c>
      <c r="G801" s="39">
        <v>3885.03</v>
      </c>
      <c r="H801" s="37" t="s">
        <v>1143</v>
      </c>
      <c r="I801" s="52" t="s">
        <v>38</v>
      </c>
      <c r="J801" s="37" t="str">
        <f t="shared" si="4"/>
        <v>No</v>
      </c>
      <c r="K801" s="35"/>
      <c r="L801" s="35"/>
      <c r="M801" s="35"/>
      <c r="N801" s="4"/>
      <c r="O801" s="4"/>
      <c r="P801" s="50"/>
      <c r="Q801" s="50"/>
      <c r="R801" s="50"/>
      <c r="S801" s="51"/>
      <c r="T801" s="4"/>
      <c r="U801" s="4"/>
    </row>
    <row r="802" ht="18.0" customHeight="1">
      <c r="A802" s="35"/>
      <c r="B802" s="37" t="s">
        <v>1144</v>
      </c>
      <c r="C802" s="38">
        <v>44880.0</v>
      </c>
      <c r="D802" s="37">
        <v>96.0</v>
      </c>
      <c r="E802" s="37">
        <v>112.0</v>
      </c>
      <c r="F802" s="37">
        <v>128.2</v>
      </c>
      <c r="G802" s="39">
        <v>8005.51</v>
      </c>
      <c r="H802" s="37" t="s">
        <v>1145</v>
      </c>
      <c r="I802" s="52" t="s">
        <v>38</v>
      </c>
      <c r="J802" s="37" t="str">
        <f t="shared" si="4"/>
        <v>No</v>
      </c>
      <c r="K802" s="35"/>
      <c r="L802" s="35"/>
      <c r="M802" s="35"/>
      <c r="N802" s="4"/>
      <c r="O802" s="4"/>
      <c r="P802" s="50"/>
      <c r="Q802" s="50"/>
      <c r="R802" s="50"/>
      <c r="S802" s="51"/>
      <c r="T802" s="4"/>
      <c r="U802" s="4"/>
    </row>
    <row r="803" ht="18.0" customHeight="1">
      <c r="A803" s="35"/>
      <c r="B803" s="37" t="s">
        <v>1146</v>
      </c>
      <c r="C803" s="38">
        <v>44708.0</v>
      </c>
      <c r="D803" s="37">
        <v>69.0</v>
      </c>
      <c r="E803" s="37">
        <v>715.0</v>
      </c>
      <c r="F803" s="37">
        <v>171.1</v>
      </c>
      <c r="G803" s="39">
        <v>1637.67</v>
      </c>
      <c r="H803" s="37" t="s">
        <v>1147</v>
      </c>
      <c r="I803" s="52" t="s">
        <v>38</v>
      </c>
      <c r="J803" s="37" t="str">
        <f t="shared" si="4"/>
        <v>No</v>
      </c>
      <c r="K803" s="35"/>
      <c r="L803" s="35"/>
      <c r="M803" s="35"/>
      <c r="N803" s="4"/>
      <c r="O803" s="4"/>
      <c r="P803" s="50"/>
      <c r="Q803" s="50"/>
      <c r="R803" s="50"/>
      <c r="S803" s="51"/>
      <c r="T803" s="4"/>
      <c r="U803" s="4"/>
    </row>
    <row r="804" ht="18.0" customHeight="1">
      <c r="A804" s="35"/>
      <c r="B804" s="37" t="s">
        <v>1148</v>
      </c>
      <c r="C804" s="38">
        <v>44818.0</v>
      </c>
      <c r="D804" s="37">
        <v>67.0</v>
      </c>
      <c r="E804" s="37">
        <v>518.0</v>
      </c>
      <c r="F804" s="37">
        <v>58.09</v>
      </c>
      <c r="G804" s="39">
        <v>5608.48</v>
      </c>
      <c r="H804" s="37" t="s">
        <v>1149</v>
      </c>
      <c r="I804" s="52" t="s">
        <v>50</v>
      </c>
      <c r="J804" s="37" t="str">
        <f t="shared" si="4"/>
        <v>No</v>
      </c>
      <c r="K804" s="35"/>
      <c r="L804" s="35"/>
      <c r="M804" s="35"/>
      <c r="N804" s="4"/>
      <c r="O804" s="4"/>
      <c r="P804" s="50"/>
      <c r="Q804" s="50"/>
      <c r="R804" s="50"/>
      <c r="S804" s="51"/>
      <c r="T804" s="4"/>
      <c r="U804" s="4"/>
    </row>
    <row r="805" ht="18.0" customHeight="1">
      <c r="A805" s="35"/>
      <c r="B805" s="37" t="s">
        <v>1150</v>
      </c>
      <c r="C805" s="38">
        <v>44675.0</v>
      </c>
      <c r="D805" s="37">
        <v>14.0</v>
      </c>
      <c r="E805" s="37">
        <v>206.0</v>
      </c>
      <c r="F805" s="37">
        <v>56.15</v>
      </c>
      <c r="G805" s="39">
        <v>462.93</v>
      </c>
      <c r="H805" s="37" t="s">
        <v>1151</v>
      </c>
      <c r="I805" s="52" t="s">
        <v>42</v>
      </c>
      <c r="J805" s="37" t="str">
        <f t="shared" si="4"/>
        <v>No</v>
      </c>
      <c r="K805" s="35"/>
      <c r="L805" s="35"/>
      <c r="M805" s="35"/>
      <c r="N805" s="4"/>
      <c r="O805" s="4"/>
      <c r="P805" s="50"/>
      <c r="Q805" s="50"/>
      <c r="R805" s="50"/>
      <c r="S805" s="51"/>
      <c r="T805" s="4"/>
      <c r="U805" s="4"/>
    </row>
    <row r="806" ht="18.0" customHeight="1">
      <c r="A806" s="35"/>
      <c r="B806" s="37" t="s">
        <v>1152</v>
      </c>
      <c r="C806" s="38">
        <v>44821.0</v>
      </c>
      <c r="D806" s="37">
        <v>100.0</v>
      </c>
      <c r="E806" s="37">
        <v>696.0</v>
      </c>
      <c r="F806" s="37">
        <v>139.66</v>
      </c>
      <c r="G806" s="39">
        <v>7648.64</v>
      </c>
      <c r="H806" s="37" t="s">
        <v>1153</v>
      </c>
      <c r="I806" s="52" t="s">
        <v>38</v>
      </c>
      <c r="J806" s="37" t="str">
        <f t="shared" si="4"/>
        <v>No</v>
      </c>
      <c r="K806" s="35"/>
      <c r="L806" s="35"/>
      <c r="M806" s="35"/>
      <c r="N806" s="4"/>
      <c r="O806" s="4"/>
      <c r="P806" s="50"/>
      <c r="Q806" s="50"/>
      <c r="R806" s="50"/>
      <c r="S806" s="51"/>
      <c r="T806" s="4"/>
      <c r="U806" s="4"/>
    </row>
    <row r="807" ht="18.0" customHeight="1">
      <c r="A807" s="35"/>
      <c r="B807" s="37" t="s">
        <v>1154</v>
      </c>
      <c r="C807" s="38">
        <v>44729.0</v>
      </c>
      <c r="D807" s="37">
        <v>76.0</v>
      </c>
      <c r="E807" s="37">
        <v>681.0</v>
      </c>
      <c r="F807" s="37">
        <v>106.16</v>
      </c>
      <c r="G807" s="39">
        <v>3663.62</v>
      </c>
      <c r="H807" s="37" t="s">
        <v>1155</v>
      </c>
      <c r="I807" s="52" t="s">
        <v>50</v>
      </c>
      <c r="J807" s="37" t="str">
        <f t="shared" si="4"/>
        <v>No</v>
      </c>
      <c r="K807" s="35"/>
      <c r="L807" s="35"/>
      <c r="M807" s="35"/>
      <c r="N807" s="4"/>
      <c r="O807" s="4"/>
      <c r="P807" s="50"/>
      <c r="Q807" s="50"/>
      <c r="R807" s="50"/>
      <c r="S807" s="51"/>
      <c r="T807" s="4"/>
      <c r="U807" s="4"/>
    </row>
    <row r="808" ht="18.0" customHeight="1">
      <c r="A808" s="35"/>
      <c r="B808" s="37" t="s">
        <v>1156</v>
      </c>
      <c r="C808" s="38">
        <v>44760.0</v>
      </c>
      <c r="D808" s="37">
        <v>78.0</v>
      </c>
      <c r="E808" s="37">
        <v>573.0</v>
      </c>
      <c r="F808" s="37">
        <v>48.79</v>
      </c>
      <c r="G808" s="39">
        <v>7508.31</v>
      </c>
      <c r="H808" s="37" t="s">
        <v>1157</v>
      </c>
      <c r="I808" s="52" t="s">
        <v>38</v>
      </c>
      <c r="J808" s="37" t="str">
        <f t="shared" si="4"/>
        <v>Yes</v>
      </c>
      <c r="K808" s="35"/>
      <c r="L808" s="35"/>
      <c r="M808" s="35"/>
      <c r="N808" s="4"/>
      <c r="O808" s="4"/>
      <c r="P808" s="50"/>
      <c r="Q808" s="50"/>
      <c r="R808" s="50"/>
      <c r="S808" s="51"/>
      <c r="T808" s="4"/>
      <c r="U808" s="4"/>
    </row>
    <row r="809" ht="18.0" customHeight="1">
      <c r="A809" s="35"/>
      <c r="B809" s="37" t="s">
        <v>21</v>
      </c>
      <c r="C809" s="38">
        <v>44673.0</v>
      </c>
      <c r="D809" s="37">
        <v>91.0</v>
      </c>
      <c r="E809" s="37">
        <v>475.0</v>
      </c>
      <c r="F809" s="37">
        <v>205.5</v>
      </c>
      <c r="G809" s="39">
        <v>2368.0</v>
      </c>
      <c r="H809" s="37" t="s">
        <v>1158</v>
      </c>
      <c r="I809" s="52" t="s">
        <v>38</v>
      </c>
      <c r="J809" s="37" t="str">
        <f t="shared" si="4"/>
        <v>Yes</v>
      </c>
      <c r="K809" s="35"/>
      <c r="L809" s="35"/>
      <c r="M809" s="35"/>
      <c r="N809" s="4"/>
      <c r="O809" s="4"/>
      <c r="P809" s="50"/>
      <c r="Q809" s="50"/>
      <c r="R809" s="50"/>
      <c r="S809" s="51"/>
      <c r="T809" s="4"/>
      <c r="U809" s="4"/>
    </row>
    <row r="810" ht="18.0" customHeight="1">
      <c r="A810" s="35"/>
      <c r="B810" s="37" t="s">
        <v>1159</v>
      </c>
      <c r="C810" s="38">
        <v>44786.0</v>
      </c>
      <c r="D810" s="37">
        <v>29.0</v>
      </c>
      <c r="E810" s="37">
        <v>367.0</v>
      </c>
      <c r="F810" s="37">
        <v>147.48</v>
      </c>
      <c r="G810" s="39">
        <v>2130.81</v>
      </c>
      <c r="H810" s="37" t="s">
        <v>1160</v>
      </c>
      <c r="I810" s="52" t="s">
        <v>38</v>
      </c>
      <c r="J810" s="37" t="str">
        <f t="shared" si="4"/>
        <v>No</v>
      </c>
      <c r="K810" s="35"/>
      <c r="L810" s="35"/>
      <c r="M810" s="35"/>
      <c r="N810" s="4"/>
      <c r="O810" s="4"/>
      <c r="P810" s="50"/>
      <c r="Q810" s="50"/>
      <c r="R810" s="50"/>
      <c r="S810" s="51"/>
      <c r="T810" s="4"/>
      <c r="U810" s="4"/>
    </row>
    <row r="811" ht="18.0" customHeight="1">
      <c r="A811" s="35"/>
      <c r="B811" s="37" t="s">
        <v>1161</v>
      </c>
      <c r="C811" s="38">
        <v>44812.0</v>
      </c>
      <c r="D811" s="37">
        <v>32.0</v>
      </c>
      <c r="E811" s="37">
        <v>436.0</v>
      </c>
      <c r="F811" s="37">
        <v>71.94</v>
      </c>
      <c r="G811" s="39">
        <v>8252.16</v>
      </c>
      <c r="H811" s="37" t="s">
        <v>1162</v>
      </c>
      <c r="I811" s="52" t="s">
        <v>38</v>
      </c>
      <c r="J811" s="37" t="str">
        <f t="shared" si="4"/>
        <v>No</v>
      </c>
      <c r="K811" s="35"/>
      <c r="L811" s="35"/>
      <c r="M811" s="35"/>
      <c r="N811" s="4"/>
      <c r="O811" s="4"/>
      <c r="P811" s="50"/>
      <c r="Q811" s="50"/>
      <c r="R811" s="50"/>
      <c r="S811" s="51"/>
      <c r="T811" s="4"/>
      <c r="U811" s="4"/>
    </row>
    <row r="812" ht="18.0" customHeight="1">
      <c r="A812" s="35"/>
      <c r="B812" s="37" t="s">
        <v>36</v>
      </c>
      <c r="C812" s="38">
        <v>44615.0</v>
      </c>
      <c r="D812" s="37">
        <v>58.0</v>
      </c>
      <c r="E812" s="37">
        <v>300.0</v>
      </c>
      <c r="F812" s="37">
        <v>72.3</v>
      </c>
      <c r="G812" s="39">
        <v>4797.49</v>
      </c>
      <c r="H812" s="37" t="s">
        <v>1163</v>
      </c>
      <c r="I812" s="52" t="s">
        <v>42</v>
      </c>
      <c r="J812" s="37" t="str">
        <f t="shared" si="4"/>
        <v>No</v>
      </c>
      <c r="K812" s="35"/>
      <c r="L812" s="35"/>
      <c r="M812" s="35"/>
      <c r="N812" s="4"/>
      <c r="O812" s="4"/>
      <c r="P812" s="50"/>
      <c r="Q812" s="50"/>
      <c r="R812" s="50"/>
      <c r="S812" s="51"/>
      <c r="T812" s="4"/>
      <c r="U812" s="4"/>
    </row>
    <row r="813" ht="18.0" customHeight="1">
      <c r="A813" s="35"/>
      <c r="B813" s="37" t="s">
        <v>1164</v>
      </c>
      <c r="C813" s="38">
        <v>44615.0</v>
      </c>
      <c r="D813" s="37">
        <v>46.0</v>
      </c>
      <c r="E813" s="37">
        <v>988.0</v>
      </c>
      <c r="F813" s="37">
        <v>57.61</v>
      </c>
      <c r="G813" s="39">
        <v>8936.02</v>
      </c>
      <c r="H813" s="37" t="s">
        <v>87</v>
      </c>
      <c r="I813" s="52" t="s">
        <v>42</v>
      </c>
      <c r="J813" s="37" t="str">
        <f t="shared" si="4"/>
        <v>No</v>
      </c>
      <c r="K813" s="35"/>
      <c r="L813" s="35"/>
      <c r="M813" s="35"/>
      <c r="N813" s="4"/>
      <c r="O813" s="4"/>
      <c r="P813" s="50"/>
      <c r="Q813" s="50"/>
      <c r="R813" s="50"/>
      <c r="S813" s="51"/>
      <c r="T813" s="4"/>
      <c r="U813" s="4"/>
    </row>
    <row r="814" ht="18.0" customHeight="1">
      <c r="A814" s="35"/>
      <c r="B814" s="37" t="s">
        <v>1165</v>
      </c>
      <c r="C814" s="38">
        <v>44681.0</v>
      </c>
      <c r="D814" s="37">
        <v>31.0</v>
      </c>
      <c r="E814" s="37">
        <v>751.0</v>
      </c>
      <c r="F814" s="37">
        <v>171.8</v>
      </c>
      <c r="G814" s="39">
        <v>3628.62</v>
      </c>
      <c r="H814" s="37" t="s">
        <v>37</v>
      </c>
      <c r="I814" s="52" t="s">
        <v>38</v>
      </c>
      <c r="J814" s="37" t="str">
        <f t="shared" si="4"/>
        <v>No</v>
      </c>
      <c r="K814" s="35"/>
      <c r="L814" s="35"/>
      <c r="M814" s="35"/>
      <c r="N814" s="4"/>
      <c r="O814" s="4"/>
      <c r="P814" s="50"/>
      <c r="Q814" s="50"/>
      <c r="R814" s="50"/>
      <c r="S814" s="51"/>
      <c r="T814" s="4"/>
      <c r="U814" s="4"/>
    </row>
    <row r="815" ht="18.0" customHeight="1">
      <c r="A815" s="35"/>
      <c r="B815" s="37" t="s">
        <v>1166</v>
      </c>
      <c r="C815" s="38">
        <v>44761.0</v>
      </c>
      <c r="D815" s="37">
        <v>52.0</v>
      </c>
      <c r="E815" s="37">
        <v>789.0</v>
      </c>
      <c r="F815" s="37">
        <v>18.51</v>
      </c>
      <c r="G815" s="39">
        <v>6359.92</v>
      </c>
      <c r="H815" s="37" t="s">
        <v>41</v>
      </c>
      <c r="I815" s="52" t="s">
        <v>50</v>
      </c>
      <c r="J815" s="37" t="str">
        <f t="shared" si="4"/>
        <v>No</v>
      </c>
      <c r="K815" s="35"/>
      <c r="L815" s="35"/>
      <c r="M815" s="35"/>
      <c r="N815" s="4"/>
      <c r="O815" s="4"/>
      <c r="P815" s="50"/>
      <c r="Q815" s="50"/>
      <c r="R815" s="50"/>
      <c r="S815" s="51"/>
      <c r="T815" s="4"/>
      <c r="U815" s="4"/>
    </row>
    <row r="816" ht="18.0" customHeight="1">
      <c r="A816" s="35"/>
      <c r="B816" s="37" t="s">
        <v>1167</v>
      </c>
      <c r="C816" s="38">
        <v>44696.0</v>
      </c>
      <c r="D816" s="37">
        <v>46.0</v>
      </c>
      <c r="E816" s="37">
        <v>564.0</v>
      </c>
      <c r="F816" s="37">
        <v>79.02</v>
      </c>
      <c r="G816" s="39">
        <v>840.36</v>
      </c>
      <c r="H816" s="37" t="s">
        <v>45</v>
      </c>
      <c r="I816" s="52" t="s">
        <v>38</v>
      </c>
      <c r="J816" s="37" t="str">
        <f t="shared" si="4"/>
        <v>No</v>
      </c>
      <c r="K816" s="35"/>
      <c r="L816" s="35"/>
      <c r="M816" s="35"/>
      <c r="N816" s="4"/>
      <c r="O816" s="4"/>
      <c r="P816" s="50"/>
      <c r="Q816" s="50"/>
      <c r="R816" s="50"/>
      <c r="S816" s="51"/>
      <c r="T816" s="4"/>
      <c r="U816" s="4"/>
    </row>
    <row r="817" ht="18.0" customHeight="1">
      <c r="A817" s="35"/>
      <c r="B817" s="37" t="s">
        <v>1168</v>
      </c>
      <c r="C817" s="38">
        <v>44568.0</v>
      </c>
      <c r="D817" s="37">
        <v>16.0</v>
      </c>
      <c r="E817" s="37">
        <v>782.0</v>
      </c>
      <c r="F817" s="37">
        <v>248.43</v>
      </c>
      <c r="G817" s="39">
        <v>5835.35</v>
      </c>
      <c r="H817" s="37" t="s">
        <v>49</v>
      </c>
      <c r="I817" s="52" t="s">
        <v>42</v>
      </c>
      <c r="J817" s="37" t="str">
        <f t="shared" si="4"/>
        <v>No</v>
      </c>
      <c r="K817" s="35"/>
      <c r="L817" s="35"/>
      <c r="M817" s="35"/>
      <c r="N817" s="4"/>
      <c r="O817" s="4"/>
      <c r="P817" s="50"/>
      <c r="Q817" s="50"/>
      <c r="R817" s="50"/>
      <c r="S817" s="51"/>
      <c r="T817" s="4"/>
      <c r="U817" s="4"/>
    </row>
    <row r="818" ht="18.0" customHeight="1">
      <c r="A818" s="35"/>
      <c r="B818" s="37" t="s">
        <v>1169</v>
      </c>
      <c r="C818" s="38">
        <v>44720.0</v>
      </c>
      <c r="D818" s="37">
        <v>66.0</v>
      </c>
      <c r="E818" s="37">
        <v>516.0</v>
      </c>
      <c r="F818" s="37">
        <v>221.56</v>
      </c>
      <c r="G818" s="39">
        <v>2053.63</v>
      </c>
      <c r="H818" s="37" t="s">
        <v>53</v>
      </c>
      <c r="I818" s="52" t="s">
        <v>50</v>
      </c>
      <c r="J818" s="37" t="str">
        <f t="shared" si="4"/>
        <v>No</v>
      </c>
      <c r="K818" s="35"/>
      <c r="L818" s="35"/>
      <c r="M818" s="35"/>
      <c r="N818" s="4"/>
      <c r="O818" s="4"/>
      <c r="P818" s="50"/>
      <c r="Q818" s="50"/>
      <c r="R818" s="50"/>
      <c r="S818" s="51"/>
      <c r="T818" s="4"/>
      <c r="U818" s="4"/>
    </row>
    <row r="819" ht="18.0" customHeight="1">
      <c r="A819" s="35"/>
      <c r="B819" s="37" t="s">
        <v>1170</v>
      </c>
      <c r="C819" s="38">
        <v>44733.0</v>
      </c>
      <c r="D819" s="37">
        <v>60.0</v>
      </c>
      <c r="E819" s="37">
        <v>460.0</v>
      </c>
      <c r="F819" s="37">
        <v>12.95</v>
      </c>
      <c r="G819" s="39">
        <v>2913.93</v>
      </c>
      <c r="H819" s="37" t="s">
        <v>56</v>
      </c>
      <c r="I819" s="52" t="s">
        <v>42</v>
      </c>
      <c r="J819" s="37" t="str">
        <f t="shared" si="4"/>
        <v>No</v>
      </c>
      <c r="K819" s="35"/>
      <c r="L819" s="35"/>
      <c r="M819" s="35"/>
      <c r="N819" s="4"/>
      <c r="O819" s="4"/>
      <c r="P819" s="50"/>
      <c r="Q819" s="50"/>
      <c r="R819" s="50"/>
      <c r="S819" s="51"/>
      <c r="T819" s="4"/>
      <c r="U819" s="4"/>
    </row>
    <row r="820" ht="18.0" customHeight="1">
      <c r="A820" s="35"/>
      <c r="B820" s="37" t="s">
        <v>1171</v>
      </c>
      <c r="C820" s="38">
        <v>44702.0</v>
      </c>
      <c r="D820" s="37">
        <v>73.0</v>
      </c>
      <c r="E820" s="37">
        <v>429.0</v>
      </c>
      <c r="F820" s="37">
        <v>213.97</v>
      </c>
      <c r="G820" s="39">
        <v>1766.35</v>
      </c>
      <c r="H820" s="37" t="s">
        <v>59</v>
      </c>
      <c r="I820" s="52" t="s">
        <v>38</v>
      </c>
      <c r="J820" s="37" t="str">
        <f t="shared" si="4"/>
        <v>No</v>
      </c>
      <c r="K820" s="35"/>
      <c r="L820" s="35"/>
      <c r="M820" s="35"/>
      <c r="N820" s="4"/>
      <c r="O820" s="4"/>
      <c r="P820" s="50"/>
      <c r="Q820" s="50"/>
      <c r="R820" s="50"/>
      <c r="S820" s="51"/>
      <c r="T820" s="4"/>
      <c r="U820" s="4"/>
    </row>
    <row r="821" ht="18.0" customHeight="1">
      <c r="A821" s="35"/>
      <c r="B821" s="37" t="s">
        <v>1172</v>
      </c>
      <c r="C821" s="38">
        <v>44801.0</v>
      </c>
      <c r="D821" s="37">
        <v>93.0</v>
      </c>
      <c r="E821" s="37">
        <v>749.0</v>
      </c>
      <c r="F821" s="37">
        <v>213.11</v>
      </c>
      <c r="G821" s="39">
        <v>5933.99</v>
      </c>
      <c r="H821" s="37" t="s">
        <v>61</v>
      </c>
      <c r="I821" s="52" t="s">
        <v>42</v>
      </c>
      <c r="J821" s="37" t="str">
        <f t="shared" si="4"/>
        <v>No</v>
      </c>
      <c r="K821" s="35"/>
      <c r="L821" s="35"/>
      <c r="M821" s="35"/>
      <c r="N821" s="4"/>
      <c r="O821" s="4"/>
      <c r="P821" s="50"/>
      <c r="Q821" s="50"/>
      <c r="R821" s="50"/>
      <c r="S821" s="51"/>
      <c r="T821" s="4"/>
      <c r="U821" s="4"/>
    </row>
    <row r="822" ht="18.0" customHeight="1">
      <c r="A822" s="35"/>
      <c r="B822" s="37" t="s">
        <v>1173</v>
      </c>
      <c r="C822" s="38">
        <v>44662.0</v>
      </c>
      <c r="D822" s="37">
        <v>20.0</v>
      </c>
      <c r="E822" s="37">
        <v>968.0</v>
      </c>
      <c r="F822" s="37">
        <v>213.82</v>
      </c>
      <c r="G822" s="39">
        <v>1331.78</v>
      </c>
      <c r="H822" s="37" t="s">
        <v>63</v>
      </c>
      <c r="I822" s="52" t="s">
        <v>42</v>
      </c>
      <c r="J822" s="37" t="str">
        <f t="shared" si="4"/>
        <v>No</v>
      </c>
      <c r="K822" s="35"/>
      <c r="L822" s="35"/>
      <c r="M822" s="35"/>
      <c r="N822" s="4"/>
      <c r="O822" s="4"/>
      <c r="P822" s="50"/>
      <c r="Q822" s="50"/>
      <c r="R822" s="50"/>
      <c r="S822" s="51"/>
      <c r="T822" s="4"/>
      <c r="U822" s="4"/>
    </row>
    <row r="823" ht="18.0" customHeight="1">
      <c r="A823" s="35"/>
      <c r="B823" s="37" t="s">
        <v>1174</v>
      </c>
      <c r="C823" s="38">
        <v>44829.0</v>
      </c>
      <c r="D823" s="37">
        <v>90.0</v>
      </c>
      <c r="E823" s="37">
        <v>486.0</v>
      </c>
      <c r="F823" s="37">
        <v>153.24</v>
      </c>
      <c r="G823" s="39">
        <v>8998.0</v>
      </c>
      <c r="H823" s="37" t="s">
        <v>66</v>
      </c>
      <c r="I823" s="52" t="s">
        <v>38</v>
      </c>
      <c r="J823" s="37" t="str">
        <f t="shared" si="4"/>
        <v>No</v>
      </c>
      <c r="K823" s="35"/>
      <c r="L823" s="35"/>
      <c r="M823" s="35"/>
      <c r="N823" s="4"/>
      <c r="O823" s="4"/>
      <c r="P823" s="50"/>
      <c r="Q823" s="50"/>
      <c r="R823" s="50"/>
      <c r="S823" s="51"/>
      <c r="T823" s="4"/>
      <c r="U823" s="4"/>
    </row>
    <row r="824" ht="18.0" customHeight="1">
      <c r="A824" s="35"/>
      <c r="B824" s="37" t="s">
        <v>17</v>
      </c>
      <c r="C824" s="38">
        <v>44851.0</v>
      </c>
      <c r="D824" s="37">
        <v>19.0</v>
      </c>
      <c r="E824" s="37">
        <v>502.0</v>
      </c>
      <c r="F824" s="37">
        <v>81.32</v>
      </c>
      <c r="G824" s="39">
        <v>5870.83</v>
      </c>
      <c r="H824" s="37" t="s">
        <v>68</v>
      </c>
      <c r="I824" s="52" t="s">
        <v>42</v>
      </c>
      <c r="J824" s="37" t="str">
        <f t="shared" si="4"/>
        <v>No</v>
      </c>
      <c r="K824" s="35"/>
      <c r="L824" s="35"/>
      <c r="M824" s="35"/>
      <c r="N824" s="4"/>
      <c r="O824" s="4"/>
      <c r="P824" s="50"/>
      <c r="Q824" s="50"/>
      <c r="R824" s="50"/>
      <c r="S824" s="51"/>
      <c r="T824" s="4"/>
      <c r="U824" s="4"/>
    </row>
    <row r="825" ht="18.0" customHeight="1">
      <c r="A825" s="35"/>
      <c r="B825" s="37" t="s">
        <v>1175</v>
      </c>
      <c r="C825" s="38">
        <v>44898.0</v>
      </c>
      <c r="D825" s="37">
        <v>13.0</v>
      </c>
      <c r="E825" s="37">
        <v>730.0</v>
      </c>
      <c r="F825" s="37">
        <v>76.04</v>
      </c>
      <c r="G825" s="39">
        <v>3454.57</v>
      </c>
      <c r="H825" s="37" t="s">
        <v>71</v>
      </c>
      <c r="I825" s="52" t="s">
        <v>42</v>
      </c>
      <c r="J825" s="37" t="str">
        <f t="shared" si="4"/>
        <v>No</v>
      </c>
      <c r="K825" s="35"/>
      <c r="L825" s="35"/>
      <c r="M825" s="35"/>
      <c r="N825" s="4"/>
      <c r="O825" s="4"/>
      <c r="P825" s="50"/>
      <c r="Q825" s="50"/>
      <c r="R825" s="50"/>
      <c r="S825" s="51"/>
      <c r="T825" s="4"/>
      <c r="U825" s="4"/>
    </row>
    <row r="826" ht="18.0" customHeight="1">
      <c r="A826" s="35"/>
      <c r="B826" s="37" t="s">
        <v>1176</v>
      </c>
      <c r="C826" s="38">
        <v>44750.0</v>
      </c>
      <c r="D826" s="37">
        <v>20.0</v>
      </c>
      <c r="E826" s="37">
        <v>905.0</v>
      </c>
      <c r="F826" s="37">
        <v>17.24</v>
      </c>
      <c r="G826" s="39">
        <v>2966.11</v>
      </c>
      <c r="H826" s="37" t="s">
        <v>1177</v>
      </c>
      <c r="I826" s="52" t="s">
        <v>42</v>
      </c>
      <c r="J826" s="37" t="str">
        <f t="shared" si="4"/>
        <v>No</v>
      </c>
      <c r="K826" s="35"/>
      <c r="L826" s="35"/>
      <c r="M826" s="35"/>
      <c r="N826" s="4"/>
      <c r="O826" s="4"/>
      <c r="P826" s="50"/>
      <c r="Q826" s="50"/>
      <c r="R826" s="50"/>
      <c r="S826" s="51"/>
      <c r="T826" s="4"/>
      <c r="U826" s="4"/>
    </row>
    <row r="827" ht="18.0" customHeight="1">
      <c r="A827" s="35"/>
      <c r="B827" s="37" t="s">
        <v>40</v>
      </c>
      <c r="C827" s="38">
        <v>44845.0</v>
      </c>
      <c r="D827" s="37">
        <v>91.0</v>
      </c>
      <c r="E827" s="37">
        <v>420.0</v>
      </c>
      <c r="F827" s="37">
        <v>238.52</v>
      </c>
      <c r="G827" s="39">
        <v>5105.04</v>
      </c>
      <c r="H827" s="37" t="s">
        <v>1178</v>
      </c>
      <c r="I827" s="52" t="s">
        <v>42</v>
      </c>
      <c r="J827" s="37" t="str">
        <f t="shared" si="4"/>
        <v>No</v>
      </c>
      <c r="K827" s="35"/>
      <c r="L827" s="35"/>
      <c r="M827" s="35"/>
      <c r="N827" s="4"/>
      <c r="O827" s="4"/>
      <c r="P827" s="50"/>
      <c r="Q827" s="50"/>
      <c r="R827" s="50"/>
      <c r="S827" s="51"/>
      <c r="T827" s="4"/>
      <c r="U827" s="4"/>
    </row>
    <row r="828" ht="18.0" customHeight="1">
      <c r="A828" s="35"/>
      <c r="B828" s="37" t="s">
        <v>48</v>
      </c>
      <c r="C828" s="38">
        <v>44894.0</v>
      </c>
      <c r="D828" s="37">
        <v>93.0</v>
      </c>
      <c r="E828" s="37">
        <v>822.0</v>
      </c>
      <c r="F828" s="37">
        <v>143.28</v>
      </c>
      <c r="G828" s="39">
        <v>4072.0</v>
      </c>
      <c r="H828" s="37" t="s">
        <v>1179</v>
      </c>
      <c r="I828" s="52" t="s">
        <v>38</v>
      </c>
      <c r="J828" s="37" t="str">
        <f t="shared" si="4"/>
        <v>No</v>
      </c>
      <c r="K828" s="35"/>
      <c r="L828" s="35"/>
      <c r="M828" s="35"/>
      <c r="N828" s="4"/>
      <c r="O828" s="4"/>
      <c r="P828" s="50"/>
      <c r="Q828" s="50"/>
      <c r="R828" s="50"/>
      <c r="S828" s="51"/>
      <c r="T828" s="4"/>
      <c r="U828" s="4"/>
    </row>
    <row r="829" ht="18.0" customHeight="1">
      <c r="A829" s="35"/>
      <c r="B829" s="37" t="s">
        <v>1180</v>
      </c>
      <c r="C829" s="38">
        <v>44675.0</v>
      </c>
      <c r="D829" s="37">
        <v>65.0</v>
      </c>
      <c r="E829" s="37">
        <v>717.0</v>
      </c>
      <c r="F829" s="37">
        <v>159.66</v>
      </c>
      <c r="G829" s="39">
        <v>5627.19</v>
      </c>
      <c r="H829" s="37" t="s">
        <v>1181</v>
      </c>
      <c r="I829" s="52" t="s">
        <v>50</v>
      </c>
      <c r="J829" s="37" t="str">
        <f t="shared" si="4"/>
        <v>No</v>
      </c>
      <c r="K829" s="35"/>
      <c r="L829" s="35"/>
      <c r="M829" s="35"/>
      <c r="N829" s="4"/>
      <c r="O829" s="4"/>
      <c r="P829" s="50"/>
      <c r="Q829" s="50"/>
      <c r="R829" s="50"/>
      <c r="S829" s="51"/>
      <c r="T829" s="4"/>
      <c r="U829" s="4"/>
    </row>
    <row r="830" ht="18.0" customHeight="1">
      <c r="A830" s="35"/>
      <c r="B830" s="37" t="s">
        <v>1182</v>
      </c>
      <c r="C830" s="38">
        <v>44580.0</v>
      </c>
      <c r="D830" s="37">
        <v>18.0</v>
      </c>
      <c r="E830" s="37">
        <v>960.0</v>
      </c>
      <c r="F830" s="37">
        <v>189.56</v>
      </c>
      <c r="G830" s="39">
        <v>4867.03</v>
      </c>
      <c r="H830" s="37" t="s">
        <v>1183</v>
      </c>
      <c r="I830" s="52" t="s">
        <v>38</v>
      </c>
      <c r="J830" s="37" t="str">
        <f t="shared" si="4"/>
        <v>No</v>
      </c>
      <c r="K830" s="35"/>
      <c r="L830" s="35"/>
      <c r="M830" s="35"/>
      <c r="N830" s="4"/>
      <c r="O830" s="4"/>
      <c r="P830" s="50"/>
      <c r="Q830" s="50"/>
      <c r="R830" s="50"/>
      <c r="S830" s="51"/>
      <c r="T830" s="4"/>
      <c r="U830" s="4"/>
    </row>
    <row r="831" ht="18.0" customHeight="1">
      <c r="A831" s="35"/>
      <c r="B831" s="37" t="s">
        <v>1184</v>
      </c>
      <c r="C831" s="38">
        <v>44684.0</v>
      </c>
      <c r="D831" s="37">
        <v>88.0</v>
      </c>
      <c r="E831" s="37">
        <v>568.0</v>
      </c>
      <c r="F831" s="37">
        <v>98.08</v>
      </c>
      <c r="G831" s="39">
        <v>9531.04</v>
      </c>
      <c r="H831" s="37" t="s">
        <v>1185</v>
      </c>
      <c r="I831" s="52" t="s">
        <v>42</v>
      </c>
      <c r="J831" s="37" t="str">
        <f t="shared" si="4"/>
        <v>No</v>
      </c>
      <c r="K831" s="35"/>
      <c r="L831" s="35"/>
      <c r="M831" s="35"/>
      <c r="N831" s="4"/>
      <c r="O831" s="4"/>
      <c r="P831" s="50"/>
      <c r="Q831" s="50"/>
      <c r="R831" s="50"/>
      <c r="S831" s="51"/>
      <c r="T831" s="4"/>
      <c r="U831" s="4"/>
    </row>
    <row r="832" ht="18.0" customHeight="1">
      <c r="A832" s="35"/>
      <c r="B832" s="37" t="s">
        <v>1186</v>
      </c>
      <c r="C832" s="38">
        <v>44729.0</v>
      </c>
      <c r="D832" s="37">
        <v>85.0</v>
      </c>
      <c r="E832" s="37">
        <v>227.0</v>
      </c>
      <c r="F832" s="37">
        <v>1.76</v>
      </c>
      <c r="G832" s="39">
        <v>1419.41</v>
      </c>
      <c r="H832" s="37" t="s">
        <v>1187</v>
      </c>
      <c r="I832" s="52" t="s">
        <v>38</v>
      </c>
      <c r="J832" s="37" t="str">
        <f t="shared" si="4"/>
        <v>No</v>
      </c>
      <c r="K832" s="35"/>
      <c r="L832" s="35"/>
      <c r="M832" s="35"/>
      <c r="N832" s="4"/>
      <c r="O832" s="4"/>
      <c r="P832" s="50"/>
      <c r="Q832" s="50"/>
      <c r="R832" s="50"/>
      <c r="S832" s="51"/>
      <c r="T832" s="4"/>
      <c r="U832" s="4"/>
    </row>
    <row r="833" ht="18.0" customHeight="1">
      <c r="A833" s="35"/>
      <c r="B833" s="37" t="s">
        <v>1188</v>
      </c>
      <c r="C833" s="38">
        <v>44750.0</v>
      </c>
      <c r="D833" s="37">
        <v>86.0</v>
      </c>
      <c r="E833" s="37">
        <v>940.0</v>
      </c>
      <c r="F833" s="37">
        <v>1.64</v>
      </c>
      <c r="G833" s="39">
        <v>7604.45</v>
      </c>
      <c r="H833" s="37" t="s">
        <v>1189</v>
      </c>
      <c r="I833" s="52" t="s">
        <v>38</v>
      </c>
      <c r="J833" s="37" t="str">
        <f t="shared" si="4"/>
        <v>No</v>
      </c>
      <c r="K833" s="35"/>
      <c r="L833" s="35"/>
      <c r="M833" s="35"/>
      <c r="N833" s="4"/>
      <c r="O833" s="4"/>
      <c r="P833" s="50"/>
      <c r="Q833" s="50"/>
      <c r="R833" s="50"/>
      <c r="S833" s="51"/>
      <c r="T833" s="4"/>
      <c r="U833" s="4"/>
    </row>
    <row r="834" ht="18.0" customHeight="1">
      <c r="A834" s="35"/>
      <c r="B834" s="37" t="s">
        <v>1190</v>
      </c>
      <c r="C834" s="38">
        <v>44682.0</v>
      </c>
      <c r="D834" s="37">
        <v>22.0</v>
      </c>
      <c r="E834" s="37">
        <v>188.0</v>
      </c>
      <c r="F834" s="37">
        <v>47.56</v>
      </c>
      <c r="G834" s="39">
        <v>7798.56</v>
      </c>
      <c r="H834" s="37" t="s">
        <v>1191</v>
      </c>
      <c r="I834" s="52" t="s">
        <v>38</v>
      </c>
      <c r="J834" s="37" t="str">
        <f t="shared" si="4"/>
        <v>No</v>
      </c>
      <c r="K834" s="35"/>
      <c r="L834" s="35"/>
      <c r="M834" s="35"/>
      <c r="N834" s="4"/>
      <c r="O834" s="4"/>
      <c r="P834" s="50"/>
      <c r="Q834" s="50"/>
      <c r="R834" s="50"/>
      <c r="S834" s="51"/>
      <c r="T834" s="4"/>
      <c r="U834" s="4"/>
    </row>
    <row r="835" ht="18.0" customHeight="1">
      <c r="A835" s="35"/>
      <c r="B835" s="37" t="s">
        <v>1192</v>
      </c>
      <c r="C835" s="38">
        <v>44787.0</v>
      </c>
      <c r="D835" s="37">
        <v>82.0</v>
      </c>
      <c r="E835" s="37">
        <v>124.0</v>
      </c>
      <c r="F835" s="37">
        <v>78.26</v>
      </c>
      <c r="G835" s="39">
        <v>6972.94</v>
      </c>
      <c r="H835" s="37" t="s">
        <v>1193</v>
      </c>
      <c r="I835" s="52" t="s">
        <v>42</v>
      </c>
      <c r="J835" s="37" t="str">
        <f t="shared" si="4"/>
        <v>No</v>
      </c>
      <c r="K835" s="35"/>
      <c r="L835" s="35"/>
      <c r="M835" s="35"/>
      <c r="N835" s="4"/>
      <c r="O835" s="4"/>
      <c r="P835" s="50"/>
      <c r="Q835" s="50"/>
      <c r="R835" s="50"/>
      <c r="S835" s="51"/>
      <c r="T835" s="4"/>
      <c r="U835" s="4"/>
    </row>
    <row r="836" ht="18.0" customHeight="1">
      <c r="A836" s="35"/>
      <c r="B836" s="37" t="s">
        <v>1194</v>
      </c>
      <c r="C836" s="38">
        <v>44613.0</v>
      </c>
      <c r="D836" s="37">
        <v>59.0</v>
      </c>
      <c r="E836" s="37">
        <v>986.0</v>
      </c>
      <c r="F836" s="37">
        <v>27.75</v>
      </c>
      <c r="G836" s="39">
        <v>4910.18</v>
      </c>
      <c r="H836" s="37" t="s">
        <v>1195</v>
      </c>
      <c r="I836" s="52" t="s">
        <v>50</v>
      </c>
      <c r="J836" s="37" t="str">
        <f t="shared" si="4"/>
        <v>No</v>
      </c>
      <c r="K836" s="35"/>
      <c r="L836" s="35"/>
      <c r="M836" s="35"/>
      <c r="N836" s="4"/>
      <c r="O836" s="4"/>
      <c r="P836" s="50"/>
      <c r="Q836" s="50"/>
      <c r="R836" s="50"/>
      <c r="S836" s="51"/>
      <c r="T836" s="4"/>
      <c r="U836" s="4"/>
    </row>
    <row r="837" ht="18.0" customHeight="1">
      <c r="A837" s="35"/>
      <c r="B837" s="37" t="s">
        <v>1196</v>
      </c>
      <c r="C837" s="38">
        <v>44724.0</v>
      </c>
      <c r="D837" s="37">
        <v>30.0</v>
      </c>
      <c r="E837" s="37">
        <v>956.0</v>
      </c>
      <c r="F837" s="37">
        <v>57.92</v>
      </c>
      <c r="G837" s="39">
        <v>8597.05</v>
      </c>
      <c r="H837" s="37" t="s">
        <v>1197</v>
      </c>
      <c r="I837" s="52" t="s">
        <v>42</v>
      </c>
      <c r="J837" s="37" t="str">
        <f t="shared" si="4"/>
        <v>No</v>
      </c>
      <c r="K837" s="35"/>
      <c r="L837" s="35"/>
      <c r="M837" s="35"/>
      <c r="N837" s="4"/>
      <c r="O837" s="4"/>
      <c r="P837" s="50"/>
      <c r="Q837" s="50"/>
      <c r="R837" s="50"/>
      <c r="S837" s="51"/>
      <c r="T837" s="4"/>
      <c r="U837" s="4"/>
    </row>
    <row r="838" ht="18.0" customHeight="1">
      <c r="A838" s="35"/>
      <c r="B838" s="37" t="s">
        <v>1198</v>
      </c>
      <c r="C838" s="38">
        <v>44765.0</v>
      </c>
      <c r="D838" s="37">
        <v>97.0</v>
      </c>
      <c r="E838" s="37">
        <v>68.0</v>
      </c>
      <c r="F838" s="37">
        <v>61.31</v>
      </c>
      <c r="G838" s="39">
        <v>4087.37</v>
      </c>
      <c r="H838" s="37" t="s">
        <v>1199</v>
      </c>
      <c r="I838" s="52" t="s">
        <v>42</v>
      </c>
      <c r="J838" s="37" t="str">
        <f t="shared" si="4"/>
        <v>No</v>
      </c>
      <c r="K838" s="35"/>
      <c r="L838" s="35"/>
      <c r="M838" s="35"/>
      <c r="N838" s="4"/>
      <c r="O838" s="4"/>
      <c r="P838" s="50"/>
      <c r="Q838" s="50"/>
      <c r="R838" s="50"/>
      <c r="S838" s="51"/>
      <c r="T838" s="4"/>
      <c r="U838" s="4"/>
    </row>
    <row r="839" ht="18.0" customHeight="1">
      <c r="A839" s="35"/>
      <c r="B839" s="37" t="s">
        <v>1200</v>
      </c>
      <c r="C839" s="38">
        <v>44705.0</v>
      </c>
      <c r="D839" s="37">
        <v>69.0</v>
      </c>
      <c r="E839" s="37">
        <v>396.0</v>
      </c>
      <c r="F839" s="37">
        <v>161.29</v>
      </c>
      <c r="G839" s="39">
        <v>2463.28</v>
      </c>
      <c r="H839" s="37" t="s">
        <v>1201</v>
      </c>
      <c r="I839" s="52" t="s">
        <v>42</v>
      </c>
      <c r="J839" s="37" t="str">
        <f t="shared" si="4"/>
        <v>No</v>
      </c>
      <c r="K839" s="35"/>
      <c r="L839" s="35"/>
      <c r="M839" s="35"/>
      <c r="N839" s="4"/>
      <c r="O839" s="4"/>
      <c r="P839" s="50"/>
      <c r="Q839" s="50"/>
      <c r="R839" s="50"/>
      <c r="S839" s="51"/>
      <c r="T839" s="4"/>
      <c r="U839" s="4"/>
    </row>
    <row r="840" ht="18.0" customHeight="1">
      <c r="A840" s="35"/>
      <c r="B840" s="37" t="s">
        <v>1202</v>
      </c>
      <c r="C840" s="38">
        <v>44858.0</v>
      </c>
      <c r="D840" s="37">
        <v>21.0</v>
      </c>
      <c r="E840" s="37">
        <v>112.0</v>
      </c>
      <c r="F840" s="37">
        <v>109.54</v>
      </c>
      <c r="G840" s="39">
        <v>4248.06</v>
      </c>
      <c r="H840" s="37" t="s">
        <v>87</v>
      </c>
      <c r="I840" s="52" t="s">
        <v>42</v>
      </c>
      <c r="J840" s="37" t="str">
        <f t="shared" si="4"/>
        <v>No</v>
      </c>
      <c r="K840" s="35"/>
      <c r="L840" s="35"/>
      <c r="M840" s="35"/>
      <c r="N840" s="4"/>
      <c r="O840" s="4"/>
      <c r="P840" s="50"/>
      <c r="Q840" s="50"/>
      <c r="R840" s="50"/>
      <c r="S840" s="51"/>
      <c r="T840" s="4"/>
      <c r="U840" s="4"/>
    </row>
    <row r="841" ht="18.0" customHeight="1">
      <c r="A841" s="35"/>
      <c r="B841" s="37" t="s">
        <v>1203</v>
      </c>
      <c r="C841" s="38">
        <v>44674.0</v>
      </c>
      <c r="D841" s="37">
        <v>50.0</v>
      </c>
      <c r="E841" s="37">
        <v>179.0</v>
      </c>
      <c r="F841" s="37">
        <v>183.03</v>
      </c>
      <c r="G841" s="39">
        <v>5230.56</v>
      </c>
      <c r="H841" s="37" t="s">
        <v>37</v>
      </c>
      <c r="I841" s="52" t="s">
        <v>50</v>
      </c>
      <c r="J841" s="37" t="str">
        <f t="shared" si="4"/>
        <v>No</v>
      </c>
      <c r="K841" s="35"/>
      <c r="L841" s="35"/>
      <c r="M841" s="35"/>
      <c r="N841" s="4"/>
      <c r="O841" s="4"/>
      <c r="P841" s="50"/>
      <c r="Q841" s="50"/>
      <c r="R841" s="50"/>
      <c r="S841" s="51"/>
      <c r="T841" s="4"/>
      <c r="U841" s="4"/>
    </row>
    <row r="842" ht="18.0" customHeight="1">
      <c r="A842" s="35"/>
      <c r="B842" s="37" t="s">
        <v>1204</v>
      </c>
      <c r="C842" s="38">
        <v>44858.0</v>
      </c>
      <c r="D842" s="37">
        <v>68.0</v>
      </c>
      <c r="E842" s="37">
        <v>507.0</v>
      </c>
      <c r="F842" s="37">
        <v>190.69</v>
      </c>
      <c r="G842" s="39">
        <v>6229.54</v>
      </c>
      <c r="H842" s="37" t="s">
        <v>41</v>
      </c>
      <c r="I842" s="52" t="s">
        <v>50</v>
      </c>
      <c r="J842" s="37" t="str">
        <f t="shared" si="4"/>
        <v>No</v>
      </c>
      <c r="K842" s="35"/>
      <c r="L842" s="35"/>
      <c r="M842" s="35"/>
      <c r="N842" s="4"/>
      <c r="O842" s="4"/>
      <c r="P842" s="50"/>
      <c r="Q842" s="50"/>
      <c r="R842" s="50"/>
      <c r="S842" s="51"/>
      <c r="T842" s="4"/>
      <c r="U842" s="4"/>
    </row>
    <row r="843" ht="18.0" customHeight="1">
      <c r="A843" s="35"/>
      <c r="B843" s="37" t="s">
        <v>1205</v>
      </c>
      <c r="C843" s="38">
        <v>44776.0</v>
      </c>
      <c r="D843" s="37">
        <v>17.0</v>
      </c>
      <c r="E843" s="37">
        <v>945.0</v>
      </c>
      <c r="F843" s="37">
        <v>36.28</v>
      </c>
      <c r="G843" s="39">
        <v>2596.79</v>
      </c>
      <c r="H843" s="37" t="s">
        <v>45</v>
      </c>
      <c r="I843" s="52" t="s">
        <v>42</v>
      </c>
      <c r="J843" s="37" t="str">
        <f t="shared" si="4"/>
        <v>No</v>
      </c>
      <c r="K843" s="35"/>
      <c r="L843" s="35"/>
      <c r="M843" s="35"/>
      <c r="N843" s="4"/>
      <c r="O843" s="4"/>
      <c r="P843" s="50"/>
      <c r="Q843" s="50"/>
      <c r="R843" s="50"/>
      <c r="S843" s="51"/>
      <c r="T843" s="4"/>
      <c r="U843" s="4"/>
    </row>
    <row r="844" ht="18.0" customHeight="1">
      <c r="A844" s="35"/>
      <c r="B844" s="37" t="s">
        <v>1206</v>
      </c>
      <c r="C844" s="38">
        <v>44596.0</v>
      </c>
      <c r="D844" s="37">
        <v>84.0</v>
      </c>
      <c r="E844" s="37">
        <v>390.0</v>
      </c>
      <c r="F844" s="37">
        <v>99.02</v>
      </c>
      <c r="G844" s="39">
        <v>5533.7</v>
      </c>
      <c r="H844" s="37" t="s">
        <v>49</v>
      </c>
      <c r="I844" s="52" t="s">
        <v>38</v>
      </c>
      <c r="J844" s="37" t="str">
        <f t="shared" si="4"/>
        <v>No</v>
      </c>
      <c r="K844" s="35"/>
      <c r="L844" s="35"/>
      <c r="M844" s="35"/>
      <c r="N844" s="4"/>
      <c r="O844" s="4"/>
      <c r="P844" s="50"/>
      <c r="Q844" s="50"/>
      <c r="R844" s="50"/>
      <c r="S844" s="51"/>
      <c r="T844" s="4"/>
      <c r="U844" s="4"/>
    </row>
    <row r="845" ht="18.0" customHeight="1">
      <c r="A845" s="35"/>
      <c r="B845" s="37" t="s">
        <v>1207</v>
      </c>
      <c r="C845" s="38">
        <v>44566.0</v>
      </c>
      <c r="D845" s="37">
        <v>53.0</v>
      </c>
      <c r="E845" s="37">
        <v>425.0</v>
      </c>
      <c r="F845" s="37">
        <v>61.13</v>
      </c>
      <c r="G845" s="39">
        <v>8056.08</v>
      </c>
      <c r="H845" s="37" t="s">
        <v>53</v>
      </c>
      <c r="I845" s="52" t="s">
        <v>50</v>
      </c>
      <c r="J845" s="37" t="str">
        <f t="shared" si="4"/>
        <v>No</v>
      </c>
      <c r="K845" s="35"/>
      <c r="L845" s="35"/>
      <c r="M845" s="35"/>
      <c r="N845" s="4"/>
      <c r="O845" s="4"/>
      <c r="P845" s="50"/>
      <c r="Q845" s="50"/>
      <c r="R845" s="50"/>
      <c r="S845" s="51"/>
      <c r="T845" s="4"/>
      <c r="U845" s="4"/>
    </row>
    <row r="846" ht="18.0" customHeight="1">
      <c r="A846" s="35"/>
      <c r="B846" s="37" t="s">
        <v>1208</v>
      </c>
      <c r="C846" s="38">
        <v>44626.0</v>
      </c>
      <c r="D846" s="37">
        <v>67.0</v>
      </c>
      <c r="E846" s="37">
        <v>800.0</v>
      </c>
      <c r="F846" s="37">
        <v>233.49</v>
      </c>
      <c r="G846" s="39">
        <v>2845.29</v>
      </c>
      <c r="H846" s="37" t="s">
        <v>56</v>
      </c>
      <c r="I846" s="52" t="s">
        <v>50</v>
      </c>
      <c r="J846" s="37" t="str">
        <f t="shared" si="4"/>
        <v>No</v>
      </c>
      <c r="K846" s="35"/>
      <c r="L846" s="35"/>
      <c r="M846" s="35"/>
      <c r="N846" s="4"/>
      <c r="O846" s="4"/>
      <c r="P846" s="50"/>
      <c r="Q846" s="50"/>
      <c r="R846" s="50"/>
      <c r="S846" s="51"/>
      <c r="T846" s="4"/>
      <c r="U846" s="4"/>
    </row>
    <row r="847" ht="18.0" customHeight="1">
      <c r="A847" s="35"/>
      <c r="B847" s="37" t="s">
        <v>1209</v>
      </c>
      <c r="C847" s="38">
        <v>44804.0</v>
      </c>
      <c r="D847" s="37">
        <v>69.0</v>
      </c>
      <c r="E847" s="37">
        <v>742.0</v>
      </c>
      <c r="F847" s="37">
        <v>157.39</v>
      </c>
      <c r="G847" s="39">
        <v>5632.9</v>
      </c>
      <c r="H847" s="37" t="s">
        <v>59</v>
      </c>
      <c r="I847" s="52" t="s">
        <v>38</v>
      </c>
      <c r="J847" s="37" t="str">
        <f t="shared" si="4"/>
        <v>No</v>
      </c>
      <c r="K847" s="35"/>
      <c r="L847" s="35"/>
      <c r="M847" s="35"/>
      <c r="N847" s="4"/>
      <c r="O847" s="4"/>
      <c r="P847" s="50"/>
      <c r="Q847" s="50"/>
      <c r="R847" s="50"/>
      <c r="S847" s="51"/>
      <c r="T847" s="4"/>
      <c r="U847" s="4"/>
    </row>
    <row r="848" ht="18.0" customHeight="1">
      <c r="A848" s="35"/>
      <c r="B848" s="37" t="s">
        <v>1210</v>
      </c>
      <c r="C848" s="38">
        <v>44641.0</v>
      </c>
      <c r="D848" s="37">
        <v>52.0</v>
      </c>
      <c r="E848" s="37">
        <v>49.0</v>
      </c>
      <c r="F848" s="37">
        <v>167.23</v>
      </c>
      <c r="G848" s="39">
        <v>6470.52</v>
      </c>
      <c r="H848" s="37" t="s">
        <v>61</v>
      </c>
      <c r="I848" s="52" t="s">
        <v>38</v>
      </c>
      <c r="J848" s="37" t="str">
        <f t="shared" si="4"/>
        <v>No</v>
      </c>
      <c r="K848" s="35"/>
      <c r="L848" s="35"/>
      <c r="M848" s="35"/>
      <c r="N848" s="4"/>
      <c r="O848" s="4"/>
      <c r="P848" s="50"/>
      <c r="Q848" s="50"/>
      <c r="R848" s="50"/>
      <c r="S848" s="51"/>
      <c r="T848" s="4"/>
      <c r="U848" s="4"/>
    </row>
    <row r="849" ht="18.0" customHeight="1">
      <c r="A849" s="35"/>
      <c r="B849" s="37" t="s">
        <v>48</v>
      </c>
      <c r="C849" s="38">
        <v>44733.0</v>
      </c>
      <c r="D849" s="37">
        <v>63.0</v>
      </c>
      <c r="E849" s="37">
        <v>893.0</v>
      </c>
      <c r="F849" s="37">
        <v>45.78</v>
      </c>
      <c r="G849" s="39">
        <v>1494.75</v>
      </c>
      <c r="H849" s="37" t="s">
        <v>63</v>
      </c>
      <c r="I849" s="52" t="s">
        <v>42</v>
      </c>
      <c r="J849" s="37" t="str">
        <f t="shared" si="4"/>
        <v>No</v>
      </c>
      <c r="K849" s="35"/>
      <c r="L849" s="35"/>
      <c r="M849" s="35"/>
      <c r="N849" s="4"/>
      <c r="O849" s="4"/>
      <c r="P849" s="50"/>
      <c r="Q849" s="50"/>
      <c r="R849" s="50"/>
      <c r="S849" s="51"/>
      <c r="T849" s="4"/>
      <c r="U849" s="4"/>
    </row>
    <row r="850" ht="18.0" customHeight="1">
      <c r="A850" s="35"/>
      <c r="B850" s="37" t="s">
        <v>1211</v>
      </c>
      <c r="C850" s="38">
        <v>44644.0</v>
      </c>
      <c r="D850" s="37">
        <v>78.0</v>
      </c>
      <c r="E850" s="37">
        <v>650.0</v>
      </c>
      <c r="F850" s="37">
        <v>169.28</v>
      </c>
      <c r="G850" s="39">
        <v>8772.48</v>
      </c>
      <c r="H850" s="37" t="s">
        <v>66</v>
      </c>
      <c r="I850" s="52" t="s">
        <v>42</v>
      </c>
      <c r="J850" s="37" t="str">
        <f t="shared" si="4"/>
        <v>Yes</v>
      </c>
      <c r="K850" s="35"/>
      <c r="L850" s="35"/>
      <c r="M850" s="35"/>
      <c r="N850" s="4"/>
      <c r="O850" s="4"/>
      <c r="P850" s="50"/>
      <c r="Q850" s="50"/>
      <c r="R850" s="50"/>
      <c r="S850" s="51"/>
      <c r="T850" s="4"/>
      <c r="U850" s="4"/>
    </row>
    <row r="851" ht="18.0" customHeight="1">
      <c r="A851" s="35"/>
      <c r="B851" s="37" t="s">
        <v>1212</v>
      </c>
      <c r="C851" s="38">
        <v>44785.0</v>
      </c>
      <c r="D851" s="37">
        <v>65.0</v>
      </c>
      <c r="E851" s="37">
        <v>601.0</v>
      </c>
      <c r="F851" s="37">
        <v>18.76</v>
      </c>
      <c r="G851" s="39">
        <v>2714.77</v>
      </c>
      <c r="H851" s="37" t="s">
        <v>68</v>
      </c>
      <c r="I851" s="52" t="s">
        <v>50</v>
      </c>
      <c r="J851" s="37" t="str">
        <f t="shared" si="4"/>
        <v>No</v>
      </c>
      <c r="K851" s="35"/>
      <c r="L851" s="35"/>
      <c r="M851" s="35"/>
      <c r="N851" s="4"/>
      <c r="O851" s="4"/>
      <c r="P851" s="50"/>
      <c r="Q851" s="50"/>
      <c r="R851" s="50"/>
      <c r="S851" s="51"/>
      <c r="T851" s="4"/>
      <c r="U851" s="4"/>
    </row>
    <row r="852" ht="18.0" customHeight="1">
      <c r="A852" s="35"/>
      <c r="B852" s="37" t="s">
        <v>1213</v>
      </c>
      <c r="C852" s="38">
        <v>44564.0</v>
      </c>
      <c r="D852" s="37">
        <v>28.0</v>
      </c>
      <c r="E852" s="37">
        <v>945.0</v>
      </c>
      <c r="F852" s="37">
        <v>36.78</v>
      </c>
      <c r="G852" s="39">
        <v>5315.25</v>
      </c>
      <c r="H852" s="37" t="s">
        <v>71</v>
      </c>
      <c r="I852" s="52" t="s">
        <v>50</v>
      </c>
      <c r="J852" s="37" t="str">
        <f t="shared" si="4"/>
        <v>No</v>
      </c>
      <c r="K852" s="35"/>
      <c r="L852" s="35"/>
      <c r="M852" s="35"/>
      <c r="N852" s="4"/>
      <c r="O852" s="4"/>
      <c r="P852" s="50"/>
      <c r="Q852" s="50"/>
      <c r="R852" s="50"/>
      <c r="S852" s="51"/>
      <c r="T852" s="4"/>
      <c r="U852" s="4"/>
    </row>
    <row r="853" ht="18.0" customHeight="1">
      <c r="A853" s="35"/>
      <c r="B853" s="37" t="s">
        <v>1214</v>
      </c>
      <c r="C853" s="38">
        <v>44890.0</v>
      </c>
      <c r="D853" s="37">
        <v>91.0</v>
      </c>
      <c r="E853" s="37">
        <v>935.0</v>
      </c>
      <c r="F853" s="37">
        <v>215.66</v>
      </c>
      <c r="G853" s="39">
        <v>2600.73</v>
      </c>
      <c r="H853" s="37" t="s">
        <v>260</v>
      </c>
      <c r="I853" s="52" t="s">
        <v>38</v>
      </c>
      <c r="J853" s="37" t="str">
        <f t="shared" si="4"/>
        <v>Yes</v>
      </c>
      <c r="K853" s="35"/>
      <c r="L853" s="35"/>
      <c r="M853" s="35"/>
      <c r="N853" s="4"/>
      <c r="O853" s="4"/>
      <c r="P853" s="50"/>
      <c r="Q853" s="50"/>
      <c r="R853" s="50"/>
      <c r="S853" s="51"/>
      <c r="T853" s="4"/>
      <c r="U853" s="4"/>
    </row>
    <row r="854" ht="18.0" customHeight="1">
      <c r="A854" s="35"/>
      <c r="B854" s="37" t="s">
        <v>1215</v>
      </c>
      <c r="C854" s="38">
        <v>44597.0</v>
      </c>
      <c r="D854" s="37">
        <v>56.0</v>
      </c>
      <c r="E854" s="37">
        <v>263.0</v>
      </c>
      <c r="F854" s="37">
        <v>116.36</v>
      </c>
      <c r="G854" s="39">
        <v>7628.45</v>
      </c>
      <c r="H854" s="37" t="s">
        <v>1216</v>
      </c>
      <c r="I854" s="52" t="s">
        <v>42</v>
      </c>
      <c r="J854" s="37" t="str">
        <f t="shared" si="4"/>
        <v>No</v>
      </c>
      <c r="K854" s="35"/>
      <c r="L854" s="35"/>
      <c r="M854" s="35"/>
      <c r="N854" s="4"/>
      <c r="O854" s="4"/>
      <c r="P854" s="50"/>
      <c r="Q854" s="50"/>
      <c r="R854" s="50"/>
      <c r="S854" s="51"/>
      <c r="T854" s="4"/>
      <c r="U854" s="4"/>
    </row>
    <row r="855" ht="18.0" customHeight="1">
      <c r="A855" s="35"/>
      <c r="B855" s="37" t="s">
        <v>1217</v>
      </c>
      <c r="C855" s="38">
        <v>44572.0</v>
      </c>
      <c r="D855" s="37">
        <v>84.0</v>
      </c>
      <c r="E855" s="37">
        <v>783.0</v>
      </c>
      <c r="F855" s="37">
        <v>165.74</v>
      </c>
      <c r="G855" s="39">
        <v>6483.51</v>
      </c>
      <c r="H855" s="37" t="s">
        <v>1218</v>
      </c>
      <c r="I855" s="52" t="s">
        <v>42</v>
      </c>
      <c r="J855" s="37" t="str">
        <f t="shared" si="4"/>
        <v>No</v>
      </c>
      <c r="K855" s="35"/>
      <c r="L855" s="35"/>
      <c r="M855" s="35"/>
      <c r="N855" s="4"/>
      <c r="O855" s="4"/>
      <c r="P855" s="50"/>
      <c r="Q855" s="50"/>
      <c r="R855" s="50"/>
      <c r="S855" s="51"/>
      <c r="T855" s="4"/>
      <c r="U855" s="4"/>
    </row>
    <row r="856" ht="18.0" customHeight="1">
      <c r="A856" s="35"/>
      <c r="B856" s="37" t="s">
        <v>1219</v>
      </c>
      <c r="C856" s="38">
        <v>44848.0</v>
      </c>
      <c r="D856" s="37">
        <v>41.0</v>
      </c>
      <c r="E856" s="37">
        <v>152.0</v>
      </c>
      <c r="F856" s="37">
        <v>99.05</v>
      </c>
      <c r="G856" s="39">
        <v>3045.87</v>
      </c>
      <c r="H856" s="37" t="s">
        <v>1220</v>
      </c>
      <c r="I856" s="52" t="s">
        <v>42</v>
      </c>
      <c r="J856" s="37" t="str">
        <f t="shared" si="4"/>
        <v>No</v>
      </c>
      <c r="K856" s="35"/>
      <c r="L856" s="35"/>
      <c r="M856" s="35"/>
      <c r="N856" s="4"/>
      <c r="O856" s="4"/>
      <c r="P856" s="50"/>
      <c r="Q856" s="50"/>
      <c r="R856" s="50"/>
      <c r="S856" s="51"/>
      <c r="T856" s="4"/>
      <c r="U856" s="4"/>
    </row>
    <row r="857" ht="18.0" customHeight="1">
      <c r="A857" s="35"/>
      <c r="B857" s="37" t="s">
        <v>1221</v>
      </c>
      <c r="C857" s="38">
        <v>44752.0</v>
      </c>
      <c r="D857" s="37">
        <v>27.0</v>
      </c>
      <c r="E857" s="37">
        <v>577.0</v>
      </c>
      <c r="F857" s="37">
        <v>149.73</v>
      </c>
      <c r="G857" s="39">
        <v>510.27</v>
      </c>
      <c r="H857" s="37" t="s">
        <v>1222</v>
      </c>
      <c r="I857" s="52" t="s">
        <v>42</v>
      </c>
      <c r="J857" s="37" t="str">
        <f t="shared" si="4"/>
        <v>No</v>
      </c>
      <c r="K857" s="35"/>
      <c r="L857" s="35"/>
      <c r="M857" s="35"/>
      <c r="N857" s="4"/>
      <c r="O857" s="4"/>
      <c r="P857" s="50"/>
      <c r="Q857" s="50"/>
      <c r="R857" s="50"/>
      <c r="S857" s="51"/>
      <c r="T857" s="4"/>
      <c r="U857" s="4"/>
    </row>
    <row r="858" ht="18.0" customHeight="1">
      <c r="A858" s="35"/>
      <c r="B858" s="37" t="s">
        <v>1223</v>
      </c>
      <c r="C858" s="38">
        <v>44846.0</v>
      </c>
      <c r="D858" s="37">
        <v>17.0</v>
      </c>
      <c r="E858" s="37">
        <v>576.0</v>
      </c>
      <c r="F858" s="37">
        <v>4.44</v>
      </c>
      <c r="G858" s="39">
        <v>8987.85</v>
      </c>
      <c r="H858" s="37" t="s">
        <v>1224</v>
      </c>
      <c r="I858" s="52" t="s">
        <v>50</v>
      </c>
      <c r="J858" s="37" t="str">
        <f t="shared" si="4"/>
        <v>No</v>
      </c>
      <c r="K858" s="35"/>
      <c r="L858" s="35"/>
      <c r="M858" s="35"/>
      <c r="N858" s="4"/>
      <c r="O858" s="4"/>
      <c r="P858" s="50"/>
      <c r="Q858" s="50"/>
      <c r="R858" s="50"/>
      <c r="S858" s="51"/>
      <c r="T858" s="4"/>
      <c r="U858" s="4"/>
    </row>
    <row r="859" ht="18.0" customHeight="1">
      <c r="A859" s="35"/>
      <c r="B859" s="37" t="s">
        <v>1225</v>
      </c>
      <c r="C859" s="38">
        <v>44882.0</v>
      </c>
      <c r="D859" s="37">
        <v>90.0</v>
      </c>
      <c r="E859" s="37">
        <v>250.0</v>
      </c>
      <c r="F859" s="37">
        <v>203.06</v>
      </c>
      <c r="G859" s="39">
        <v>126.43</v>
      </c>
      <c r="H859" s="37" t="s">
        <v>1226</v>
      </c>
      <c r="I859" s="52" t="s">
        <v>38</v>
      </c>
      <c r="J859" s="37" t="str">
        <f t="shared" si="4"/>
        <v>No</v>
      </c>
      <c r="K859" s="35"/>
      <c r="L859" s="35"/>
      <c r="M859" s="35"/>
      <c r="N859" s="4"/>
      <c r="O859" s="4"/>
      <c r="P859" s="50"/>
      <c r="Q859" s="50"/>
      <c r="R859" s="50"/>
      <c r="S859" s="51"/>
      <c r="T859" s="4"/>
      <c r="U859" s="4"/>
    </row>
    <row r="860" ht="18.0" customHeight="1">
      <c r="A860" s="35"/>
      <c r="B860" s="37" t="s">
        <v>1227</v>
      </c>
      <c r="C860" s="38">
        <v>44677.0</v>
      </c>
      <c r="D860" s="37">
        <v>25.0</v>
      </c>
      <c r="E860" s="37">
        <v>318.0</v>
      </c>
      <c r="F860" s="37">
        <v>200.78</v>
      </c>
      <c r="G860" s="39">
        <v>2195.54</v>
      </c>
      <c r="H860" s="37" t="s">
        <v>1228</v>
      </c>
      <c r="I860" s="52" t="s">
        <v>38</v>
      </c>
      <c r="J860" s="37" t="str">
        <f t="shared" si="4"/>
        <v>No</v>
      </c>
      <c r="K860" s="35"/>
      <c r="L860" s="35"/>
      <c r="M860" s="35"/>
      <c r="N860" s="4"/>
      <c r="O860" s="4"/>
      <c r="P860" s="50"/>
      <c r="Q860" s="50"/>
      <c r="R860" s="50"/>
      <c r="S860" s="51"/>
      <c r="T860" s="4"/>
      <c r="U860" s="4"/>
    </row>
    <row r="861" ht="18.0" customHeight="1">
      <c r="A861" s="35"/>
      <c r="B861" s="37" t="s">
        <v>1229</v>
      </c>
      <c r="C861" s="38">
        <v>44890.0</v>
      </c>
      <c r="D861" s="37">
        <v>88.0</v>
      </c>
      <c r="E861" s="37">
        <v>761.0</v>
      </c>
      <c r="F861" s="37">
        <v>65.23</v>
      </c>
      <c r="G861" s="39">
        <v>6971.5</v>
      </c>
      <c r="H861" s="37" t="s">
        <v>1230</v>
      </c>
      <c r="I861" s="52" t="s">
        <v>38</v>
      </c>
      <c r="J861" s="37" t="str">
        <f t="shared" si="4"/>
        <v>No</v>
      </c>
      <c r="K861" s="35"/>
      <c r="L861" s="35"/>
      <c r="M861" s="35"/>
      <c r="N861" s="4"/>
      <c r="O861" s="4"/>
      <c r="P861" s="50"/>
      <c r="Q861" s="50"/>
      <c r="R861" s="50"/>
      <c r="S861" s="51"/>
      <c r="T861" s="4"/>
      <c r="U861" s="4"/>
    </row>
    <row r="862" ht="18.0" customHeight="1">
      <c r="A862" s="35"/>
      <c r="B862" s="37" t="s">
        <v>1231</v>
      </c>
      <c r="C862" s="38">
        <v>44659.0</v>
      </c>
      <c r="D862" s="37">
        <v>66.0</v>
      </c>
      <c r="E862" s="37">
        <v>165.0</v>
      </c>
      <c r="F862" s="37">
        <v>107.6</v>
      </c>
      <c r="G862" s="39">
        <v>7695.19</v>
      </c>
      <c r="H862" s="37" t="s">
        <v>1232</v>
      </c>
      <c r="I862" s="52" t="s">
        <v>50</v>
      </c>
      <c r="J862" s="37" t="str">
        <f t="shared" si="4"/>
        <v>No</v>
      </c>
      <c r="K862" s="35"/>
      <c r="L862" s="35"/>
      <c r="M862" s="35"/>
      <c r="N862" s="4"/>
      <c r="O862" s="4"/>
      <c r="P862" s="50"/>
      <c r="Q862" s="50"/>
      <c r="R862" s="50"/>
      <c r="S862" s="51"/>
      <c r="T862" s="4"/>
      <c r="U862" s="4"/>
    </row>
    <row r="863" ht="18.0" customHeight="1">
      <c r="A863" s="35"/>
      <c r="B863" s="37" t="s">
        <v>1233</v>
      </c>
      <c r="C863" s="38">
        <v>44581.0</v>
      </c>
      <c r="D863" s="37">
        <v>1.0</v>
      </c>
      <c r="E863" s="37">
        <v>746.0</v>
      </c>
      <c r="F863" s="37">
        <v>179.65</v>
      </c>
      <c r="G863" s="39">
        <v>7766.39</v>
      </c>
      <c r="H863" s="37" t="s">
        <v>1234</v>
      </c>
      <c r="I863" s="52" t="s">
        <v>50</v>
      </c>
      <c r="J863" s="37" t="str">
        <f t="shared" si="4"/>
        <v>No</v>
      </c>
      <c r="K863" s="35"/>
      <c r="L863" s="35"/>
      <c r="M863" s="35"/>
      <c r="N863" s="4"/>
      <c r="O863" s="4"/>
      <c r="P863" s="50"/>
      <c r="Q863" s="50"/>
      <c r="R863" s="50"/>
      <c r="S863" s="51"/>
      <c r="T863" s="4"/>
      <c r="U863" s="4"/>
    </row>
    <row r="864" ht="18.0" customHeight="1">
      <c r="A864" s="35"/>
      <c r="B864" s="37" t="s">
        <v>1235</v>
      </c>
      <c r="C864" s="38">
        <v>44921.0</v>
      </c>
      <c r="D864" s="37">
        <v>73.0</v>
      </c>
      <c r="E864" s="37">
        <v>608.0</v>
      </c>
      <c r="F864" s="37">
        <v>20.02</v>
      </c>
      <c r="G864" s="39">
        <v>1748.29</v>
      </c>
      <c r="H864" s="37" t="s">
        <v>1236</v>
      </c>
      <c r="I864" s="52" t="s">
        <v>50</v>
      </c>
      <c r="J864" s="37" t="str">
        <f t="shared" si="4"/>
        <v>No</v>
      </c>
      <c r="K864" s="35"/>
      <c r="L864" s="35"/>
      <c r="M864" s="35"/>
      <c r="N864" s="4"/>
      <c r="O864" s="4"/>
      <c r="P864" s="50"/>
      <c r="Q864" s="50"/>
      <c r="R864" s="50"/>
      <c r="S864" s="51"/>
      <c r="T864" s="4"/>
      <c r="U864" s="4"/>
    </row>
    <row r="865" ht="18.0" customHeight="1">
      <c r="A865" s="35"/>
      <c r="B865" s="37" t="s">
        <v>1237</v>
      </c>
      <c r="C865" s="38">
        <v>44856.0</v>
      </c>
      <c r="D865" s="37">
        <v>78.0</v>
      </c>
      <c r="E865" s="37">
        <v>987.0</v>
      </c>
      <c r="F865" s="37">
        <v>165.42</v>
      </c>
      <c r="G865" s="39">
        <v>3354.25</v>
      </c>
      <c r="H865" s="37" t="s">
        <v>1238</v>
      </c>
      <c r="I865" s="52" t="s">
        <v>38</v>
      </c>
      <c r="J865" s="37" t="str">
        <f t="shared" si="4"/>
        <v>Yes</v>
      </c>
      <c r="K865" s="35"/>
      <c r="L865" s="35"/>
      <c r="M865" s="35"/>
      <c r="N865" s="4"/>
      <c r="O865" s="4"/>
      <c r="P865" s="50"/>
      <c r="Q865" s="50"/>
      <c r="R865" s="50"/>
      <c r="S865" s="51"/>
      <c r="T865" s="4"/>
      <c r="U865" s="4"/>
    </row>
    <row r="866" ht="18.0" customHeight="1">
      <c r="A866" s="35"/>
      <c r="B866" s="37" t="s">
        <v>1239</v>
      </c>
      <c r="C866" s="38">
        <v>44835.0</v>
      </c>
      <c r="D866" s="37">
        <v>50.0</v>
      </c>
      <c r="E866" s="37">
        <v>320.0</v>
      </c>
      <c r="F866" s="37">
        <v>52.25</v>
      </c>
      <c r="G866" s="39">
        <v>4439.51</v>
      </c>
      <c r="H866" s="37" t="s">
        <v>1240</v>
      </c>
      <c r="I866" s="52" t="s">
        <v>38</v>
      </c>
      <c r="J866" s="37" t="str">
        <f t="shared" si="4"/>
        <v>No</v>
      </c>
      <c r="K866" s="35"/>
      <c r="L866" s="35"/>
      <c r="M866" s="35"/>
      <c r="N866" s="4"/>
      <c r="O866" s="4"/>
      <c r="P866" s="50"/>
      <c r="Q866" s="50"/>
      <c r="R866" s="50"/>
      <c r="S866" s="51"/>
      <c r="T866" s="4"/>
      <c r="U866" s="4"/>
    </row>
    <row r="867" ht="18.0" customHeight="1">
      <c r="A867" s="35"/>
      <c r="B867" s="37" t="s">
        <v>1241</v>
      </c>
      <c r="C867" s="38">
        <v>44751.0</v>
      </c>
      <c r="D867" s="37">
        <v>82.0</v>
      </c>
      <c r="E867" s="37">
        <v>65.0</v>
      </c>
      <c r="F867" s="37">
        <v>90.31</v>
      </c>
      <c r="G867" s="39">
        <v>1225.22</v>
      </c>
      <c r="H867" s="37" t="s">
        <v>1242</v>
      </c>
      <c r="I867" s="52" t="s">
        <v>42</v>
      </c>
      <c r="J867" s="37" t="str">
        <f t="shared" si="4"/>
        <v>No</v>
      </c>
      <c r="K867" s="35"/>
      <c r="L867" s="35"/>
      <c r="M867" s="35"/>
      <c r="N867" s="4"/>
      <c r="O867" s="4"/>
      <c r="P867" s="50"/>
      <c r="Q867" s="50"/>
      <c r="R867" s="50"/>
      <c r="S867" s="51"/>
      <c r="T867" s="4"/>
      <c r="U867" s="4"/>
    </row>
    <row r="868" ht="18.0" customHeight="1">
      <c r="A868" s="35"/>
      <c r="B868" s="37" t="s">
        <v>48</v>
      </c>
      <c r="C868" s="38">
        <v>44812.0</v>
      </c>
      <c r="D868" s="37">
        <v>68.0</v>
      </c>
      <c r="E868" s="37">
        <v>294.0</v>
      </c>
      <c r="F868" s="37">
        <v>211.49</v>
      </c>
      <c r="G868" s="39">
        <v>1684.87</v>
      </c>
      <c r="H868" s="37" t="s">
        <v>1243</v>
      </c>
      <c r="I868" s="52" t="s">
        <v>42</v>
      </c>
      <c r="J868" s="37" t="str">
        <f t="shared" si="4"/>
        <v>No</v>
      </c>
      <c r="K868" s="35"/>
      <c r="L868" s="35"/>
      <c r="M868" s="35"/>
      <c r="N868" s="4"/>
      <c r="O868" s="4"/>
      <c r="P868" s="50"/>
      <c r="Q868" s="50"/>
      <c r="R868" s="50"/>
      <c r="S868" s="51"/>
      <c r="T868" s="4"/>
      <c r="U868" s="4"/>
    </row>
    <row r="869" ht="18.0" customHeight="1">
      <c r="A869" s="35"/>
      <c r="B869" s="37" t="s">
        <v>36</v>
      </c>
      <c r="C869" s="38">
        <v>44796.0</v>
      </c>
      <c r="D869" s="37">
        <v>50.0</v>
      </c>
      <c r="E869" s="37">
        <v>19.0</v>
      </c>
      <c r="F869" s="37">
        <v>232.9</v>
      </c>
      <c r="G869" s="39">
        <v>2831.4</v>
      </c>
      <c r="H869" s="37" t="s">
        <v>1244</v>
      </c>
      <c r="I869" s="52" t="s">
        <v>50</v>
      </c>
      <c r="J869" s="37" t="str">
        <f t="shared" si="4"/>
        <v>No</v>
      </c>
      <c r="K869" s="35"/>
      <c r="L869" s="35"/>
      <c r="M869" s="35"/>
      <c r="N869" s="4"/>
      <c r="O869" s="4"/>
      <c r="P869" s="50"/>
      <c r="Q869" s="50"/>
      <c r="R869" s="50"/>
      <c r="S869" s="51"/>
      <c r="T869" s="4"/>
      <c r="U869" s="4"/>
    </row>
    <row r="870" ht="18.0" customHeight="1">
      <c r="A870" s="35"/>
      <c r="B870" s="37" t="s">
        <v>1245</v>
      </c>
      <c r="C870" s="38">
        <v>44651.0</v>
      </c>
      <c r="D870" s="37">
        <v>89.0</v>
      </c>
      <c r="E870" s="37">
        <v>208.0</v>
      </c>
      <c r="F870" s="37">
        <v>112.82</v>
      </c>
      <c r="G870" s="39">
        <v>4778.33</v>
      </c>
      <c r="H870" s="37" t="s">
        <v>1246</v>
      </c>
      <c r="I870" s="52" t="s">
        <v>42</v>
      </c>
      <c r="J870" s="37" t="str">
        <f t="shared" si="4"/>
        <v>No</v>
      </c>
      <c r="K870" s="35"/>
      <c r="L870" s="35"/>
      <c r="M870" s="35"/>
      <c r="N870" s="4"/>
      <c r="O870" s="4"/>
      <c r="P870" s="50"/>
      <c r="Q870" s="50"/>
      <c r="R870" s="50"/>
      <c r="S870" s="51"/>
      <c r="T870" s="4"/>
      <c r="U870" s="4"/>
    </row>
    <row r="871" ht="18.0" customHeight="1">
      <c r="A871" s="35"/>
      <c r="B871" s="37" t="s">
        <v>1247</v>
      </c>
      <c r="C871" s="38">
        <v>44872.0</v>
      </c>
      <c r="D871" s="37">
        <v>80.0</v>
      </c>
      <c r="E871" s="37">
        <v>288.0</v>
      </c>
      <c r="F871" s="37">
        <v>161.17</v>
      </c>
      <c r="G871" s="39">
        <v>312.45</v>
      </c>
      <c r="H871" s="37" t="s">
        <v>1248</v>
      </c>
      <c r="I871" s="52" t="s">
        <v>38</v>
      </c>
      <c r="J871" s="37" t="str">
        <f t="shared" si="4"/>
        <v>No</v>
      </c>
      <c r="K871" s="35"/>
      <c r="L871" s="35"/>
      <c r="M871" s="35"/>
      <c r="N871" s="4"/>
      <c r="O871" s="4"/>
      <c r="P871" s="50"/>
      <c r="Q871" s="50"/>
      <c r="R871" s="50"/>
      <c r="S871" s="51"/>
      <c r="T871" s="4"/>
      <c r="U871" s="4"/>
    </row>
    <row r="872" ht="18.0" customHeight="1">
      <c r="A872" s="35"/>
      <c r="B872" s="37" t="s">
        <v>1249</v>
      </c>
      <c r="C872" s="38">
        <v>44741.0</v>
      </c>
      <c r="D872" s="37">
        <v>42.0</v>
      </c>
      <c r="E872" s="37">
        <v>989.0</v>
      </c>
      <c r="F872" s="37">
        <v>185.36</v>
      </c>
      <c r="G872" s="39">
        <v>3984.22</v>
      </c>
      <c r="H872" s="37" t="s">
        <v>1250</v>
      </c>
      <c r="I872" s="52" t="s">
        <v>42</v>
      </c>
      <c r="J872" s="37" t="str">
        <f t="shared" si="4"/>
        <v>No</v>
      </c>
      <c r="K872" s="35"/>
      <c r="L872" s="35"/>
      <c r="M872" s="35"/>
      <c r="N872" s="4"/>
      <c r="O872" s="4"/>
      <c r="P872" s="50"/>
      <c r="Q872" s="50"/>
      <c r="R872" s="50"/>
      <c r="S872" s="51"/>
      <c r="T872" s="4"/>
      <c r="U872" s="4"/>
    </row>
    <row r="873" ht="18.0" customHeight="1">
      <c r="A873" s="35"/>
      <c r="B873" s="37" t="s">
        <v>1251</v>
      </c>
      <c r="C873" s="38">
        <v>44627.0</v>
      </c>
      <c r="D873" s="37">
        <v>61.0</v>
      </c>
      <c r="E873" s="37">
        <v>664.0</v>
      </c>
      <c r="F873" s="37">
        <v>109.13</v>
      </c>
      <c r="G873" s="39">
        <v>1532.16</v>
      </c>
      <c r="H873" s="37" t="s">
        <v>1252</v>
      </c>
      <c r="I873" s="52" t="s">
        <v>50</v>
      </c>
      <c r="J873" s="37" t="str">
        <f t="shared" si="4"/>
        <v>No</v>
      </c>
      <c r="K873" s="35"/>
      <c r="L873" s="35"/>
      <c r="M873" s="35"/>
      <c r="N873" s="4"/>
      <c r="O873" s="4"/>
      <c r="P873" s="50"/>
      <c r="Q873" s="50"/>
      <c r="R873" s="50"/>
      <c r="S873" s="51"/>
      <c r="T873" s="4"/>
      <c r="U873" s="4"/>
    </row>
    <row r="874" ht="18.0" customHeight="1">
      <c r="A874" s="35"/>
      <c r="B874" s="37" t="s">
        <v>1253</v>
      </c>
      <c r="C874" s="38">
        <v>44599.0</v>
      </c>
      <c r="D874" s="37">
        <v>98.0</v>
      </c>
      <c r="E874" s="37">
        <v>138.0</v>
      </c>
      <c r="F874" s="37">
        <v>199.19</v>
      </c>
      <c r="G874" s="39">
        <v>1697.99</v>
      </c>
      <c r="H874" s="37" t="s">
        <v>87</v>
      </c>
      <c r="I874" s="52" t="s">
        <v>38</v>
      </c>
      <c r="J874" s="37" t="str">
        <f t="shared" si="4"/>
        <v>No</v>
      </c>
      <c r="K874" s="35"/>
      <c r="L874" s="35"/>
      <c r="M874" s="35"/>
      <c r="N874" s="4"/>
      <c r="O874" s="4"/>
      <c r="P874" s="50"/>
      <c r="Q874" s="50"/>
      <c r="R874" s="50"/>
      <c r="S874" s="51"/>
      <c r="T874" s="4"/>
      <c r="U874" s="4"/>
    </row>
    <row r="875" ht="18.0" customHeight="1">
      <c r="A875" s="35"/>
      <c r="B875" s="37" t="s">
        <v>1254</v>
      </c>
      <c r="C875" s="38">
        <v>44642.0</v>
      </c>
      <c r="D875" s="37">
        <v>4.0</v>
      </c>
      <c r="E875" s="37">
        <v>341.0</v>
      </c>
      <c r="F875" s="37">
        <v>213.09</v>
      </c>
      <c r="G875" s="39">
        <v>6130.62</v>
      </c>
      <c r="H875" s="37" t="s">
        <v>37</v>
      </c>
      <c r="I875" s="52" t="s">
        <v>50</v>
      </c>
      <c r="J875" s="37" t="str">
        <f t="shared" si="4"/>
        <v>No</v>
      </c>
      <c r="K875" s="35"/>
      <c r="L875" s="35"/>
      <c r="M875" s="35"/>
      <c r="N875" s="4"/>
      <c r="O875" s="4"/>
      <c r="P875" s="50"/>
      <c r="Q875" s="50"/>
      <c r="R875" s="50"/>
      <c r="S875" s="51"/>
      <c r="T875" s="4"/>
      <c r="U875" s="4"/>
    </row>
    <row r="876" ht="18.0" customHeight="1">
      <c r="A876" s="35"/>
      <c r="B876" s="37" t="s">
        <v>1255</v>
      </c>
      <c r="C876" s="38">
        <v>44574.0</v>
      </c>
      <c r="D876" s="37">
        <v>19.0</v>
      </c>
      <c r="E876" s="37">
        <v>454.0</v>
      </c>
      <c r="F876" s="37">
        <v>43.48</v>
      </c>
      <c r="G876" s="39">
        <v>3615.57</v>
      </c>
      <c r="H876" s="37" t="s">
        <v>41</v>
      </c>
      <c r="I876" s="52" t="s">
        <v>50</v>
      </c>
      <c r="J876" s="37" t="str">
        <f t="shared" si="4"/>
        <v>No</v>
      </c>
      <c r="K876" s="35"/>
      <c r="L876" s="35"/>
      <c r="M876" s="35"/>
      <c r="N876" s="4"/>
      <c r="O876" s="4"/>
      <c r="P876" s="50"/>
      <c r="Q876" s="50"/>
      <c r="R876" s="50"/>
      <c r="S876" s="51"/>
      <c r="T876" s="4"/>
      <c r="U876" s="4"/>
    </row>
    <row r="877" ht="18.0" customHeight="1">
      <c r="A877" s="35"/>
      <c r="B877" s="37" t="s">
        <v>1256</v>
      </c>
      <c r="C877" s="38">
        <v>44886.0</v>
      </c>
      <c r="D877" s="37">
        <v>77.0</v>
      </c>
      <c r="E877" s="37">
        <v>996.0</v>
      </c>
      <c r="F877" s="37">
        <v>131.73</v>
      </c>
      <c r="G877" s="39">
        <v>8758.85</v>
      </c>
      <c r="H877" s="37" t="s">
        <v>45</v>
      </c>
      <c r="I877" s="52" t="s">
        <v>50</v>
      </c>
      <c r="J877" s="37" t="str">
        <f t="shared" si="4"/>
        <v>No</v>
      </c>
      <c r="K877" s="35"/>
      <c r="L877" s="35"/>
      <c r="M877" s="35"/>
      <c r="N877" s="4"/>
      <c r="O877" s="4"/>
      <c r="P877" s="50"/>
      <c r="Q877" s="50"/>
      <c r="R877" s="50"/>
      <c r="S877" s="51"/>
      <c r="T877" s="4"/>
      <c r="U877" s="4"/>
    </row>
    <row r="878" ht="18.0" customHeight="1">
      <c r="A878" s="35"/>
      <c r="B878" s="37" t="s">
        <v>1257</v>
      </c>
      <c r="C878" s="38">
        <v>44638.0</v>
      </c>
      <c r="D878" s="37">
        <v>23.0</v>
      </c>
      <c r="E878" s="37">
        <v>551.0</v>
      </c>
      <c r="F878" s="37">
        <v>126.62</v>
      </c>
      <c r="G878" s="39">
        <v>9617.96</v>
      </c>
      <c r="H878" s="37" t="s">
        <v>49</v>
      </c>
      <c r="I878" s="52" t="s">
        <v>42</v>
      </c>
      <c r="J878" s="37" t="str">
        <f t="shared" si="4"/>
        <v>No</v>
      </c>
      <c r="K878" s="35"/>
      <c r="L878" s="35"/>
      <c r="M878" s="35"/>
      <c r="N878" s="4"/>
      <c r="O878" s="4"/>
      <c r="P878" s="50"/>
      <c r="Q878" s="50"/>
      <c r="R878" s="50"/>
      <c r="S878" s="51"/>
      <c r="T878" s="4"/>
      <c r="U878" s="4"/>
    </row>
    <row r="879" ht="18.0" customHeight="1">
      <c r="A879" s="35"/>
      <c r="B879" s="37" t="s">
        <v>1258</v>
      </c>
      <c r="C879" s="38">
        <v>44703.0</v>
      </c>
      <c r="D879" s="37">
        <v>39.0</v>
      </c>
      <c r="E879" s="37">
        <v>789.0</v>
      </c>
      <c r="F879" s="37">
        <v>76.32</v>
      </c>
      <c r="G879" s="39">
        <v>8021.71</v>
      </c>
      <c r="H879" s="37" t="s">
        <v>53</v>
      </c>
      <c r="I879" s="52" t="s">
        <v>38</v>
      </c>
      <c r="J879" s="37" t="str">
        <f t="shared" si="4"/>
        <v>No</v>
      </c>
      <c r="K879" s="35"/>
      <c r="L879" s="35"/>
      <c r="M879" s="35"/>
      <c r="N879" s="4"/>
      <c r="O879" s="4"/>
      <c r="P879" s="50"/>
      <c r="Q879" s="50"/>
      <c r="R879" s="50"/>
      <c r="S879" s="51"/>
      <c r="T879" s="4"/>
      <c r="U879" s="4"/>
    </row>
    <row r="880" ht="18.0" customHeight="1">
      <c r="A880" s="35"/>
      <c r="B880" s="37" t="s">
        <v>1259</v>
      </c>
      <c r="C880" s="38">
        <v>44613.0</v>
      </c>
      <c r="D880" s="37">
        <v>40.0</v>
      </c>
      <c r="E880" s="37">
        <v>903.0</v>
      </c>
      <c r="F880" s="37">
        <v>150.21</v>
      </c>
      <c r="G880" s="39">
        <v>5225.95</v>
      </c>
      <c r="H880" s="37" t="s">
        <v>56</v>
      </c>
      <c r="I880" s="52" t="s">
        <v>50</v>
      </c>
      <c r="J880" s="37" t="str">
        <f t="shared" si="4"/>
        <v>No</v>
      </c>
      <c r="K880" s="35"/>
      <c r="L880" s="35"/>
      <c r="M880" s="35"/>
      <c r="N880" s="4"/>
      <c r="O880" s="4"/>
      <c r="P880" s="50"/>
      <c r="Q880" s="50"/>
      <c r="R880" s="50"/>
      <c r="S880" s="51"/>
      <c r="T880" s="4"/>
      <c r="U880" s="4"/>
    </row>
    <row r="881" ht="18.0" customHeight="1">
      <c r="A881" s="35"/>
      <c r="B881" s="37" t="s">
        <v>1260</v>
      </c>
      <c r="C881" s="38">
        <v>44588.0</v>
      </c>
      <c r="D881" s="37">
        <v>34.0</v>
      </c>
      <c r="E881" s="37">
        <v>724.0</v>
      </c>
      <c r="F881" s="37">
        <v>51.02</v>
      </c>
      <c r="G881" s="39">
        <v>3710.74</v>
      </c>
      <c r="H881" s="37" t="s">
        <v>59</v>
      </c>
      <c r="I881" s="52" t="s">
        <v>50</v>
      </c>
      <c r="J881" s="37" t="str">
        <f t="shared" si="4"/>
        <v>No</v>
      </c>
      <c r="K881" s="35"/>
      <c r="L881" s="35"/>
      <c r="M881" s="35"/>
      <c r="N881" s="4"/>
      <c r="O881" s="4"/>
      <c r="P881" s="50"/>
      <c r="Q881" s="50"/>
      <c r="R881" s="50"/>
      <c r="S881" s="51"/>
      <c r="T881" s="4"/>
      <c r="U881" s="4"/>
    </row>
    <row r="882" ht="18.0" customHeight="1">
      <c r="A882" s="35"/>
      <c r="B882" s="37" t="s">
        <v>1261</v>
      </c>
      <c r="C882" s="38">
        <v>44689.0</v>
      </c>
      <c r="D882" s="37">
        <v>26.0</v>
      </c>
      <c r="E882" s="37">
        <v>83.0</v>
      </c>
      <c r="F882" s="37">
        <v>228.28</v>
      </c>
      <c r="G882" s="39">
        <v>6597.22</v>
      </c>
      <c r="H882" s="37" t="s">
        <v>61</v>
      </c>
      <c r="I882" s="52" t="s">
        <v>50</v>
      </c>
      <c r="J882" s="37" t="str">
        <f t="shared" si="4"/>
        <v>No</v>
      </c>
      <c r="K882" s="35"/>
      <c r="L882" s="35"/>
      <c r="M882" s="35"/>
      <c r="N882" s="4"/>
      <c r="O882" s="4"/>
      <c r="P882" s="50"/>
      <c r="Q882" s="50"/>
      <c r="R882" s="50"/>
      <c r="S882" s="51"/>
      <c r="T882" s="4"/>
      <c r="U882" s="4"/>
    </row>
    <row r="883" ht="18.0" customHeight="1">
      <c r="A883" s="35"/>
      <c r="B883" s="37" t="s">
        <v>1262</v>
      </c>
      <c r="C883" s="38">
        <v>44854.0</v>
      </c>
      <c r="D883" s="37">
        <v>26.0</v>
      </c>
      <c r="E883" s="37">
        <v>860.0</v>
      </c>
      <c r="F883" s="37">
        <v>46.34</v>
      </c>
      <c r="G883" s="39">
        <v>5434.01</v>
      </c>
      <c r="H883" s="37" t="s">
        <v>63</v>
      </c>
      <c r="I883" s="52" t="s">
        <v>42</v>
      </c>
      <c r="J883" s="37" t="str">
        <f t="shared" si="4"/>
        <v>No</v>
      </c>
      <c r="K883" s="35"/>
      <c r="L883" s="35"/>
      <c r="M883" s="35"/>
      <c r="N883" s="4"/>
      <c r="O883" s="4"/>
      <c r="P883" s="50"/>
      <c r="Q883" s="50"/>
      <c r="R883" s="50"/>
      <c r="S883" s="51"/>
      <c r="T883" s="4"/>
      <c r="U883" s="4"/>
    </row>
    <row r="884" ht="18.0" customHeight="1">
      <c r="A884" s="35"/>
      <c r="B884" s="37" t="s">
        <v>1263</v>
      </c>
      <c r="C884" s="38">
        <v>44795.0</v>
      </c>
      <c r="D884" s="37">
        <v>28.0</v>
      </c>
      <c r="E884" s="37">
        <v>57.0</v>
      </c>
      <c r="F884" s="37">
        <v>143.39</v>
      </c>
      <c r="G884" s="39">
        <v>2372.16</v>
      </c>
      <c r="H884" s="37" t="s">
        <v>66</v>
      </c>
      <c r="I884" s="52" t="s">
        <v>38</v>
      </c>
      <c r="J884" s="37" t="str">
        <f t="shared" si="4"/>
        <v>No</v>
      </c>
      <c r="K884" s="35"/>
      <c r="L884" s="35"/>
      <c r="M884" s="35"/>
      <c r="N884" s="4"/>
      <c r="O884" s="4"/>
      <c r="P884" s="50"/>
      <c r="Q884" s="50"/>
      <c r="R884" s="50"/>
      <c r="S884" s="51"/>
      <c r="T884" s="4"/>
      <c r="U884" s="4"/>
    </row>
    <row r="885" ht="18.0" customHeight="1">
      <c r="A885" s="35"/>
      <c r="B885" s="37" t="s">
        <v>40</v>
      </c>
      <c r="C885" s="38">
        <v>44622.0</v>
      </c>
      <c r="D885" s="37">
        <v>44.0</v>
      </c>
      <c r="E885" s="37">
        <v>186.0</v>
      </c>
      <c r="F885" s="37">
        <v>66.85</v>
      </c>
      <c r="G885" s="39">
        <v>5319.43</v>
      </c>
      <c r="H885" s="37" t="s">
        <v>68</v>
      </c>
      <c r="I885" s="52" t="s">
        <v>42</v>
      </c>
      <c r="J885" s="37" t="str">
        <f t="shared" si="4"/>
        <v>No</v>
      </c>
      <c r="K885" s="35"/>
      <c r="L885" s="35"/>
      <c r="M885" s="35"/>
      <c r="N885" s="4"/>
      <c r="O885" s="4"/>
      <c r="P885" s="50"/>
      <c r="Q885" s="50"/>
      <c r="R885" s="50"/>
      <c r="S885" s="51"/>
      <c r="T885" s="4"/>
      <c r="U885" s="4"/>
    </row>
    <row r="886" ht="18.0" customHeight="1">
      <c r="A886" s="35"/>
      <c r="B886" s="37" t="s">
        <v>1264</v>
      </c>
      <c r="C886" s="38">
        <v>44916.0</v>
      </c>
      <c r="D886" s="37">
        <v>32.0</v>
      </c>
      <c r="E886" s="37">
        <v>548.0</v>
      </c>
      <c r="F886" s="37">
        <v>145.81</v>
      </c>
      <c r="G886" s="39">
        <v>3849.71</v>
      </c>
      <c r="H886" s="37" t="s">
        <v>71</v>
      </c>
      <c r="I886" s="52" t="s">
        <v>42</v>
      </c>
      <c r="J886" s="37" t="str">
        <f t="shared" si="4"/>
        <v>No</v>
      </c>
      <c r="K886" s="35"/>
      <c r="L886" s="35"/>
      <c r="M886" s="35"/>
      <c r="N886" s="4"/>
      <c r="O886" s="4"/>
      <c r="P886" s="50"/>
      <c r="Q886" s="50"/>
      <c r="R886" s="50"/>
      <c r="S886" s="51"/>
      <c r="T886" s="4"/>
      <c r="U886" s="4"/>
    </row>
    <row r="887" ht="18.0" customHeight="1">
      <c r="A887" s="35"/>
      <c r="B887" s="37" t="s">
        <v>1265</v>
      </c>
      <c r="C887" s="38">
        <v>44817.0</v>
      </c>
      <c r="D887" s="37">
        <v>46.0</v>
      </c>
      <c r="E887" s="37">
        <v>980.0</v>
      </c>
      <c r="F887" s="37">
        <v>207.54</v>
      </c>
      <c r="G887" s="39">
        <v>8561.08</v>
      </c>
      <c r="H887" s="37" t="s">
        <v>1266</v>
      </c>
      <c r="I887" s="52" t="s">
        <v>50</v>
      </c>
      <c r="J887" s="37" t="str">
        <f t="shared" si="4"/>
        <v>No</v>
      </c>
      <c r="K887" s="35"/>
      <c r="L887" s="35"/>
      <c r="M887" s="35"/>
      <c r="N887" s="4"/>
      <c r="O887" s="4"/>
      <c r="P887" s="50"/>
      <c r="Q887" s="50"/>
      <c r="R887" s="50"/>
      <c r="S887" s="51"/>
      <c r="T887" s="4"/>
      <c r="U887" s="4"/>
    </row>
    <row r="888" ht="18.0" customHeight="1">
      <c r="A888" s="35"/>
      <c r="B888" s="37" t="s">
        <v>1267</v>
      </c>
      <c r="C888" s="38">
        <v>44850.0</v>
      </c>
      <c r="D888" s="37">
        <v>49.0</v>
      </c>
      <c r="E888" s="37">
        <v>352.0</v>
      </c>
      <c r="F888" s="37">
        <v>246.61</v>
      </c>
      <c r="G888" s="39">
        <v>697.58</v>
      </c>
      <c r="H888" s="37" t="s">
        <v>1268</v>
      </c>
      <c r="I888" s="52" t="s">
        <v>42</v>
      </c>
      <c r="J888" s="37" t="str">
        <f t="shared" si="4"/>
        <v>No</v>
      </c>
      <c r="K888" s="35"/>
      <c r="L888" s="35"/>
      <c r="M888" s="35"/>
      <c r="N888" s="4"/>
      <c r="O888" s="4"/>
      <c r="P888" s="50"/>
      <c r="Q888" s="50"/>
      <c r="R888" s="50"/>
      <c r="S888" s="51"/>
      <c r="T888" s="4"/>
      <c r="U888" s="4"/>
    </row>
    <row r="889" ht="18.0" customHeight="1">
      <c r="A889" s="35"/>
      <c r="B889" s="37" t="s">
        <v>1269</v>
      </c>
      <c r="C889" s="38">
        <v>44628.0</v>
      </c>
      <c r="D889" s="37">
        <v>83.0</v>
      </c>
      <c r="E889" s="37">
        <v>359.0</v>
      </c>
      <c r="F889" s="37">
        <v>45.96</v>
      </c>
      <c r="G889" s="39">
        <v>9455.84</v>
      </c>
      <c r="H889" s="37" t="s">
        <v>1270</v>
      </c>
      <c r="I889" s="52" t="s">
        <v>42</v>
      </c>
      <c r="J889" s="37" t="str">
        <f t="shared" si="4"/>
        <v>No</v>
      </c>
      <c r="K889" s="35"/>
      <c r="L889" s="35"/>
      <c r="M889" s="35"/>
      <c r="N889" s="4"/>
      <c r="O889" s="4"/>
      <c r="P889" s="50"/>
      <c r="Q889" s="50"/>
      <c r="R889" s="50"/>
      <c r="S889" s="51"/>
      <c r="T889" s="4"/>
      <c r="U889" s="4"/>
    </row>
    <row r="890" ht="18.0" customHeight="1">
      <c r="A890" s="35"/>
      <c r="B890" s="37" t="s">
        <v>1271</v>
      </c>
      <c r="C890" s="38">
        <v>44768.0</v>
      </c>
      <c r="D890" s="37">
        <v>92.0</v>
      </c>
      <c r="E890" s="37">
        <v>226.0</v>
      </c>
      <c r="F890" s="37">
        <v>97.82</v>
      </c>
      <c r="G890" s="39">
        <v>7317.93</v>
      </c>
      <c r="H890" s="37" t="s">
        <v>1272</v>
      </c>
      <c r="I890" s="52" t="s">
        <v>42</v>
      </c>
      <c r="J890" s="37" t="str">
        <f t="shared" si="4"/>
        <v>No</v>
      </c>
      <c r="K890" s="35"/>
      <c r="L890" s="35"/>
      <c r="M890" s="35"/>
      <c r="N890" s="4"/>
      <c r="O890" s="4"/>
      <c r="P890" s="50"/>
      <c r="Q890" s="50"/>
      <c r="R890" s="50"/>
      <c r="S890" s="51"/>
      <c r="T890" s="4"/>
      <c r="U890" s="4"/>
    </row>
    <row r="891" ht="18.0" customHeight="1">
      <c r="A891" s="35"/>
      <c r="B891" s="37" t="s">
        <v>1273</v>
      </c>
      <c r="C891" s="38">
        <v>44634.0</v>
      </c>
      <c r="D891" s="37">
        <v>3.0</v>
      </c>
      <c r="E891" s="37">
        <v>68.0</v>
      </c>
      <c r="F891" s="37">
        <v>2.6</v>
      </c>
      <c r="G891" s="39">
        <v>9455.46</v>
      </c>
      <c r="H891" s="37" t="s">
        <v>1274</v>
      </c>
      <c r="I891" s="52" t="s">
        <v>38</v>
      </c>
      <c r="J891" s="37" t="str">
        <f t="shared" si="4"/>
        <v>No</v>
      </c>
      <c r="K891" s="35"/>
      <c r="L891" s="35"/>
      <c r="M891" s="35"/>
      <c r="N891" s="4"/>
      <c r="O891" s="4"/>
      <c r="P891" s="50"/>
      <c r="Q891" s="50"/>
      <c r="R891" s="50"/>
      <c r="S891" s="51"/>
      <c r="T891" s="4"/>
      <c r="U891" s="4"/>
    </row>
    <row r="892" ht="18.0" customHeight="1">
      <c r="A892" s="35"/>
      <c r="B892" s="37" t="s">
        <v>1275</v>
      </c>
      <c r="C892" s="38">
        <v>44644.0</v>
      </c>
      <c r="D892" s="37">
        <v>11.0</v>
      </c>
      <c r="E892" s="37">
        <v>526.0</v>
      </c>
      <c r="F892" s="37">
        <v>145.86</v>
      </c>
      <c r="G892" s="39">
        <v>3995.56</v>
      </c>
      <c r="H892" s="37" t="s">
        <v>1276</v>
      </c>
      <c r="I892" s="52" t="s">
        <v>42</v>
      </c>
      <c r="J892" s="37" t="str">
        <f t="shared" si="4"/>
        <v>No</v>
      </c>
      <c r="K892" s="35"/>
      <c r="L892" s="35"/>
      <c r="M892" s="35"/>
      <c r="N892" s="4"/>
      <c r="O892" s="4"/>
      <c r="P892" s="50"/>
      <c r="Q892" s="50"/>
      <c r="R892" s="50"/>
      <c r="S892" s="51"/>
      <c r="T892" s="4"/>
      <c r="U892" s="4"/>
    </row>
    <row r="893" ht="18.0" customHeight="1">
      <c r="A893" s="35"/>
      <c r="B893" s="37" t="s">
        <v>1277</v>
      </c>
      <c r="C893" s="38">
        <v>44858.0</v>
      </c>
      <c r="D893" s="37">
        <v>65.0</v>
      </c>
      <c r="E893" s="37">
        <v>884.0</v>
      </c>
      <c r="F893" s="37">
        <v>112.72</v>
      </c>
      <c r="G893" s="39">
        <v>6624.4</v>
      </c>
      <c r="H893" s="37" t="s">
        <v>1278</v>
      </c>
      <c r="I893" s="52" t="s">
        <v>42</v>
      </c>
      <c r="J893" s="37" t="str">
        <f t="shared" si="4"/>
        <v>No</v>
      </c>
      <c r="K893" s="35"/>
      <c r="L893" s="35"/>
      <c r="M893" s="35"/>
      <c r="N893" s="4"/>
      <c r="O893" s="4"/>
      <c r="P893" s="50"/>
      <c r="Q893" s="50"/>
      <c r="R893" s="50"/>
      <c r="S893" s="51"/>
      <c r="T893" s="4"/>
      <c r="U893" s="4"/>
    </row>
    <row r="894" ht="18.0" customHeight="1">
      <c r="A894" s="35"/>
      <c r="B894" s="37" t="s">
        <v>1279</v>
      </c>
      <c r="C894" s="38">
        <v>44610.0</v>
      </c>
      <c r="D894" s="37">
        <v>57.0</v>
      </c>
      <c r="E894" s="37">
        <v>542.0</v>
      </c>
      <c r="F894" s="37">
        <v>194.17</v>
      </c>
      <c r="G894" s="39">
        <v>6296.98</v>
      </c>
      <c r="H894" s="37" t="s">
        <v>87</v>
      </c>
      <c r="I894" s="52" t="s">
        <v>38</v>
      </c>
      <c r="J894" s="37" t="str">
        <f t="shared" si="4"/>
        <v>No</v>
      </c>
      <c r="K894" s="35"/>
      <c r="L894" s="35"/>
      <c r="M894" s="35"/>
      <c r="N894" s="4"/>
      <c r="O894" s="4"/>
      <c r="P894" s="50"/>
      <c r="Q894" s="50"/>
      <c r="R894" s="50"/>
      <c r="S894" s="51"/>
      <c r="T894" s="4"/>
      <c r="U894" s="4"/>
    </row>
    <row r="895" ht="18.0" customHeight="1">
      <c r="A895" s="35"/>
      <c r="B895" s="37" t="s">
        <v>1280</v>
      </c>
      <c r="C895" s="38">
        <v>44744.0</v>
      </c>
      <c r="D895" s="37">
        <v>36.0</v>
      </c>
      <c r="E895" s="37">
        <v>519.0</v>
      </c>
      <c r="F895" s="37">
        <v>62.46</v>
      </c>
      <c r="G895" s="39">
        <v>2129.25</v>
      </c>
      <c r="H895" s="37" t="s">
        <v>37</v>
      </c>
      <c r="I895" s="52" t="s">
        <v>50</v>
      </c>
      <c r="J895" s="37" t="str">
        <f t="shared" si="4"/>
        <v>No</v>
      </c>
      <c r="K895" s="35"/>
      <c r="L895" s="35"/>
      <c r="M895" s="35"/>
      <c r="N895" s="4"/>
      <c r="O895" s="4"/>
      <c r="P895" s="50"/>
      <c r="Q895" s="50"/>
      <c r="R895" s="50"/>
      <c r="S895" s="51"/>
      <c r="T895" s="4"/>
      <c r="U895" s="4"/>
    </row>
    <row r="896" ht="18.0" customHeight="1">
      <c r="A896" s="35"/>
      <c r="B896" s="37" t="s">
        <v>1281</v>
      </c>
      <c r="C896" s="38">
        <v>44787.0</v>
      </c>
      <c r="D896" s="37">
        <v>2.0</v>
      </c>
      <c r="E896" s="37">
        <v>910.0</v>
      </c>
      <c r="F896" s="37">
        <v>175.88</v>
      </c>
      <c r="G896" s="39">
        <v>9626.66</v>
      </c>
      <c r="H896" s="37" t="s">
        <v>41</v>
      </c>
      <c r="I896" s="52" t="s">
        <v>50</v>
      </c>
      <c r="J896" s="37" t="str">
        <f t="shared" si="4"/>
        <v>No</v>
      </c>
      <c r="K896" s="35"/>
      <c r="L896" s="35"/>
      <c r="M896" s="35"/>
      <c r="N896" s="4"/>
      <c r="O896" s="4"/>
      <c r="P896" s="50"/>
      <c r="Q896" s="50"/>
      <c r="R896" s="50"/>
      <c r="S896" s="51"/>
      <c r="T896" s="4"/>
      <c r="U896" s="4"/>
    </row>
    <row r="897" ht="18.0" customHeight="1">
      <c r="A897" s="35"/>
      <c r="B897" s="37" t="s">
        <v>1282</v>
      </c>
      <c r="C897" s="38">
        <v>44919.0</v>
      </c>
      <c r="D897" s="37">
        <v>50.0</v>
      </c>
      <c r="E897" s="37">
        <v>450.0</v>
      </c>
      <c r="F897" s="37">
        <v>116.23</v>
      </c>
      <c r="G897" s="39">
        <v>263.03</v>
      </c>
      <c r="H897" s="37" t="s">
        <v>45</v>
      </c>
      <c r="I897" s="52" t="s">
        <v>42</v>
      </c>
      <c r="J897" s="37" t="str">
        <f t="shared" si="4"/>
        <v>No</v>
      </c>
      <c r="K897" s="35"/>
      <c r="L897" s="35"/>
      <c r="M897" s="35"/>
      <c r="N897" s="4"/>
      <c r="O897" s="4"/>
      <c r="P897" s="50"/>
      <c r="Q897" s="50"/>
      <c r="R897" s="50"/>
      <c r="S897" s="51"/>
      <c r="T897" s="4"/>
      <c r="U897" s="4"/>
    </row>
    <row r="898" ht="18.0" customHeight="1">
      <c r="A898" s="35"/>
      <c r="B898" s="37" t="s">
        <v>1283</v>
      </c>
      <c r="C898" s="38">
        <v>44836.0</v>
      </c>
      <c r="D898" s="37">
        <v>53.0</v>
      </c>
      <c r="E898" s="37">
        <v>101.0</v>
      </c>
      <c r="F898" s="37">
        <v>163.34</v>
      </c>
      <c r="G898" s="39">
        <v>8681.94</v>
      </c>
      <c r="H898" s="37" t="s">
        <v>49</v>
      </c>
      <c r="I898" s="52" t="s">
        <v>38</v>
      </c>
      <c r="J898" s="37" t="str">
        <f t="shared" si="4"/>
        <v>No</v>
      </c>
      <c r="K898" s="35"/>
      <c r="L898" s="35"/>
      <c r="M898" s="35"/>
      <c r="N898" s="4"/>
      <c r="O898" s="4"/>
      <c r="P898" s="50"/>
      <c r="Q898" s="50"/>
      <c r="R898" s="50"/>
      <c r="S898" s="51"/>
      <c r="T898" s="4"/>
      <c r="U898" s="4"/>
    </row>
    <row r="899" ht="18.0" customHeight="1">
      <c r="A899" s="35"/>
      <c r="B899" s="37" t="s">
        <v>1284</v>
      </c>
      <c r="C899" s="38">
        <v>44851.0</v>
      </c>
      <c r="D899" s="37">
        <v>36.0</v>
      </c>
      <c r="E899" s="37">
        <v>247.0</v>
      </c>
      <c r="F899" s="37">
        <v>45.79</v>
      </c>
      <c r="G899" s="39">
        <v>1413.56</v>
      </c>
      <c r="H899" s="37" t="s">
        <v>53</v>
      </c>
      <c r="I899" s="52" t="s">
        <v>38</v>
      </c>
      <c r="J899" s="37" t="str">
        <f t="shared" si="4"/>
        <v>No</v>
      </c>
      <c r="K899" s="35"/>
      <c r="L899" s="35"/>
      <c r="M899" s="35"/>
      <c r="N899" s="4"/>
      <c r="O899" s="4"/>
      <c r="P899" s="50"/>
      <c r="Q899" s="50"/>
      <c r="R899" s="50"/>
      <c r="S899" s="51"/>
      <c r="T899" s="4"/>
      <c r="U899" s="4"/>
    </row>
    <row r="900" ht="18.0" customHeight="1">
      <c r="A900" s="35"/>
      <c r="B900" s="37" t="s">
        <v>1285</v>
      </c>
      <c r="C900" s="38">
        <v>44841.0</v>
      </c>
      <c r="D900" s="37">
        <v>7.0</v>
      </c>
      <c r="E900" s="37">
        <v>759.0</v>
      </c>
      <c r="F900" s="37">
        <v>76.83</v>
      </c>
      <c r="G900" s="39">
        <v>5919.37</v>
      </c>
      <c r="H900" s="37" t="s">
        <v>56</v>
      </c>
      <c r="I900" s="52" t="s">
        <v>38</v>
      </c>
      <c r="J900" s="37" t="str">
        <f t="shared" si="4"/>
        <v>Yes</v>
      </c>
      <c r="K900" s="35"/>
      <c r="L900" s="35"/>
      <c r="M900" s="35"/>
      <c r="N900" s="4"/>
      <c r="O900" s="4"/>
      <c r="P900" s="50"/>
      <c r="Q900" s="50"/>
      <c r="R900" s="50"/>
      <c r="S900" s="51"/>
      <c r="T900" s="4"/>
      <c r="U900" s="4"/>
    </row>
    <row r="901" ht="18.0" customHeight="1">
      <c r="A901" s="35"/>
      <c r="B901" s="37" t="s">
        <v>1286</v>
      </c>
      <c r="C901" s="38">
        <v>44749.0</v>
      </c>
      <c r="D901" s="37">
        <v>33.0</v>
      </c>
      <c r="E901" s="37">
        <v>175.0</v>
      </c>
      <c r="F901" s="37">
        <v>108.54</v>
      </c>
      <c r="G901" s="39">
        <v>601.01</v>
      </c>
      <c r="H901" s="37" t="s">
        <v>59</v>
      </c>
      <c r="I901" s="52" t="s">
        <v>38</v>
      </c>
      <c r="J901" s="37" t="str">
        <f t="shared" si="4"/>
        <v>No</v>
      </c>
      <c r="K901" s="35"/>
      <c r="L901" s="35"/>
      <c r="M901" s="35"/>
      <c r="N901" s="4"/>
      <c r="O901" s="4"/>
      <c r="P901" s="50"/>
      <c r="Q901" s="50"/>
      <c r="R901" s="50"/>
      <c r="S901" s="51"/>
      <c r="T901" s="4"/>
      <c r="U901" s="4"/>
    </row>
    <row r="902" ht="18.0" customHeight="1">
      <c r="A902" s="35"/>
      <c r="B902" s="37" t="s">
        <v>1287</v>
      </c>
      <c r="C902" s="38">
        <v>44876.0</v>
      </c>
      <c r="D902" s="37">
        <v>77.0</v>
      </c>
      <c r="E902" s="37">
        <v>732.0</v>
      </c>
      <c r="F902" s="37">
        <v>220.04</v>
      </c>
      <c r="G902" s="39">
        <v>9812.42</v>
      </c>
      <c r="H902" s="37" t="s">
        <v>61</v>
      </c>
      <c r="I902" s="52" t="s">
        <v>38</v>
      </c>
      <c r="J902" s="37" t="str">
        <f t="shared" si="4"/>
        <v>No</v>
      </c>
      <c r="K902" s="35"/>
      <c r="L902" s="35"/>
      <c r="M902" s="35"/>
      <c r="N902" s="4"/>
      <c r="O902" s="4"/>
      <c r="P902" s="50"/>
      <c r="Q902" s="50"/>
      <c r="R902" s="50"/>
      <c r="S902" s="51"/>
      <c r="T902" s="4"/>
      <c r="U902" s="4"/>
    </row>
    <row r="903" ht="18.0" customHeight="1">
      <c r="A903" s="35"/>
      <c r="B903" s="37" t="s">
        <v>1288</v>
      </c>
      <c r="C903" s="38">
        <v>44675.0</v>
      </c>
      <c r="D903" s="37">
        <v>85.0</v>
      </c>
      <c r="E903" s="37">
        <v>164.0</v>
      </c>
      <c r="F903" s="37">
        <v>46.93</v>
      </c>
      <c r="G903" s="39">
        <v>7049.84</v>
      </c>
      <c r="H903" s="37" t="s">
        <v>63</v>
      </c>
      <c r="I903" s="52" t="s">
        <v>50</v>
      </c>
      <c r="J903" s="37" t="str">
        <f t="shared" si="4"/>
        <v>No</v>
      </c>
      <c r="K903" s="35"/>
      <c r="L903" s="35"/>
      <c r="M903" s="35"/>
      <c r="N903" s="4"/>
      <c r="O903" s="4"/>
      <c r="P903" s="50"/>
      <c r="Q903" s="50"/>
      <c r="R903" s="50"/>
      <c r="S903" s="51"/>
      <c r="T903" s="4"/>
      <c r="U903" s="4"/>
    </row>
    <row r="904" ht="18.0" customHeight="1">
      <c r="A904" s="35"/>
      <c r="B904" s="37" t="s">
        <v>1289</v>
      </c>
      <c r="C904" s="38">
        <v>44836.0</v>
      </c>
      <c r="D904" s="37">
        <v>17.0</v>
      </c>
      <c r="E904" s="37">
        <v>329.0</v>
      </c>
      <c r="F904" s="37">
        <v>247.66</v>
      </c>
      <c r="G904" s="39">
        <v>9117.95</v>
      </c>
      <c r="H904" s="37" t="s">
        <v>66</v>
      </c>
      <c r="I904" s="52" t="s">
        <v>50</v>
      </c>
      <c r="J904" s="37" t="str">
        <f t="shared" si="4"/>
        <v>No</v>
      </c>
      <c r="K904" s="35"/>
      <c r="L904" s="35"/>
      <c r="M904" s="35"/>
      <c r="N904" s="4"/>
      <c r="O904" s="4"/>
      <c r="P904" s="50"/>
      <c r="Q904" s="50"/>
      <c r="R904" s="50"/>
      <c r="S904" s="51"/>
      <c r="T904" s="4"/>
      <c r="U904" s="4"/>
    </row>
    <row r="905" ht="18.0" customHeight="1">
      <c r="A905" s="35"/>
      <c r="B905" s="37" t="s">
        <v>1290</v>
      </c>
      <c r="C905" s="38">
        <v>44763.0</v>
      </c>
      <c r="D905" s="37">
        <v>2.0</v>
      </c>
      <c r="E905" s="37">
        <v>652.0</v>
      </c>
      <c r="F905" s="37">
        <v>150.83</v>
      </c>
      <c r="G905" s="39">
        <v>5856.17</v>
      </c>
      <c r="H905" s="37" t="s">
        <v>68</v>
      </c>
      <c r="I905" s="52" t="s">
        <v>38</v>
      </c>
      <c r="J905" s="37" t="str">
        <f t="shared" si="4"/>
        <v>No</v>
      </c>
      <c r="K905" s="35"/>
      <c r="L905" s="35"/>
      <c r="M905" s="35"/>
      <c r="N905" s="4"/>
      <c r="O905" s="4"/>
      <c r="P905" s="50"/>
      <c r="Q905" s="50"/>
      <c r="R905" s="50"/>
      <c r="S905" s="51"/>
      <c r="T905" s="4"/>
      <c r="U905" s="4"/>
    </row>
    <row r="906" ht="18.0" customHeight="1">
      <c r="A906" s="35"/>
      <c r="B906" s="37" t="s">
        <v>1291</v>
      </c>
      <c r="C906" s="38">
        <v>44857.0</v>
      </c>
      <c r="D906" s="37">
        <v>67.0</v>
      </c>
      <c r="E906" s="37">
        <v>883.0</v>
      </c>
      <c r="F906" s="37">
        <v>46.92</v>
      </c>
      <c r="G906" s="39">
        <v>3149.16</v>
      </c>
      <c r="H906" s="37" t="s">
        <v>71</v>
      </c>
      <c r="I906" s="52" t="s">
        <v>50</v>
      </c>
      <c r="J906" s="37" t="str">
        <f t="shared" si="4"/>
        <v>No</v>
      </c>
      <c r="K906" s="35"/>
      <c r="L906" s="35"/>
      <c r="M906" s="35"/>
      <c r="N906" s="4"/>
      <c r="O906" s="4"/>
      <c r="P906" s="50"/>
      <c r="Q906" s="50"/>
      <c r="R906" s="50"/>
      <c r="S906" s="51"/>
      <c r="T906" s="4"/>
      <c r="U906" s="4"/>
    </row>
    <row r="907" ht="18.0" customHeight="1">
      <c r="A907" s="35"/>
      <c r="B907" s="37" t="s">
        <v>1292</v>
      </c>
      <c r="C907" s="38">
        <v>44845.0</v>
      </c>
      <c r="D907" s="37">
        <v>23.0</v>
      </c>
      <c r="E907" s="37">
        <v>572.0</v>
      </c>
      <c r="F907" s="37">
        <v>243.48</v>
      </c>
      <c r="G907" s="39">
        <v>2.7</v>
      </c>
      <c r="H907" s="37" t="s">
        <v>1293</v>
      </c>
      <c r="I907" s="52" t="s">
        <v>42</v>
      </c>
      <c r="J907" s="37" t="str">
        <f t="shared" si="4"/>
        <v>No</v>
      </c>
      <c r="K907" s="35"/>
      <c r="L907" s="35"/>
      <c r="M907" s="35"/>
      <c r="N907" s="4"/>
      <c r="O907" s="4"/>
      <c r="P907" s="50"/>
      <c r="Q907" s="50"/>
      <c r="R907" s="50"/>
      <c r="S907" s="51"/>
      <c r="T907" s="4"/>
      <c r="U907" s="4"/>
    </row>
    <row r="908" ht="18.0" customHeight="1">
      <c r="A908" s="35"/>
      <c r="B908" s="37" t="s">
        <v>48</v>
      </c>
      <c r="C908" s="38">
        <v>44632.0</v>
      </c>
      <c r="D908" s="37">
        <v>91.0</v>
      </c>
      <c r="E908" s="37">
        <v>142.0</v>
      </c>
      <c r="F908" s="37">
        <v>30.75</v>
      </c>
      <c r="G908" s="39">
        <v>5019.98</v>
      </c>
      <c r="H908" s="37" t="s">
        <v>1294</v>
      </c>
      <c r="I908" s="52" t="s">
        <v>50</v>
      </c>
      <c r="J908" s="37" t="str">
        <f t="shared" si="4"/>
        <v>No</v>
      </c>
      <c r="K908" s="35"/>
      <c r="L908" s="35"/>
      <c r="M908" s="35"/>
      <c r="N908" s="4"/>
      <c r="O908" s="4"/>
      <c r="P908" s="50"/>
      <c r="Q908" s="50"/>
      <c r="R908" s="50"/>
      <c r="S908" s="51"/>
      <c r="T908" s="4"/>
      <c r="U908" s="4"/>
    </row>
    <row r="909" ht="18.0" customHeight="1">
      <c r="A909" s="35"/>
      <c r="B909" s="37" t="s">
        <v>1295</v>
      </c>
      <c r="C909" s="38">
        <v>44681.0</v>
      </c>
      <c r="D909" s="37">
        <v>28.0</v>
      </c>
      <c r="E909" s="37">
        <v>460.0</v>
      </c>
      <c r="F909" s="37">
        <v>180.61</v>
      </c>
      <c r="G909" s="39">
        <v>2159.33</v>
      </c>
      <c r="H909" s="37" t="s">
        <v>1296</v>
      </c>
      <c r="I909" s="52" t="s">
        <v>38</v>
      </c>
      <c r="J909" s="37" t="str">
        <f t="shared" si="4"/>
        <v>No</v>
      </c>
      <c r="K909" s="35"/>
      <c r="L909" s="35"/>
      <c r="M909" s="35"/>
      <c r="N909" s="4"/>
      <c r="O909" s="4"/>
      <c r="P909" s="50"/>
      <c r="Q909" s="50"/>
      <c r="R909" s="50"/>
      <c r="S909" s="51"/>
      <c r="T909" s="4"/>
      <c r="U909" s="4"/>
    </row>
    <row r="910" ht="18.0" customHeight="1">
      <c r="A910" s="35"/>
      <c r="B910" s="37" t="s">
        <v>1297</v>
      </c>
      <c r="C910" s="38">
        <v>44628.0</v>
      </c>
      <c r="D910" s="37">
        <v>75.0</v>
      </c>
      <c r="E910" s="37">
        <v>936.0</v>
      </c>
      <c r="F910" s="37">
        <v>111.13</v>
      </c>
      <c r="G910" s="39">
        <v>8410.69</v>
      </c>
      <c r="H910" s="37" t="s">
        <v>1298</v>
      </c>
      <c r="I910" s="52" t="s">
        <v>38</v>
      </c>
      <c r="J910" s="37" t="str">
        <f t="shared" si="4"/>
        <v>No</v>
      </c>
      <c r="K910" s="35"/>
      <c r="L910" s="35"/>
      <c r="M910" s="35"/>
      <c r="N910" s="4"/>
      <c r="O910" s="4"/>
      <c r="P910" s="50"/>
      <c r="Q910" s="50"/>
      <c r="R910" s="50"/>
      <c r="S910" s="51"/>
      <c r="T910" s="4"/>
      <c r="U910" s="4"/>
    </row>
    <row r="911" ht="18.0" customHeight="1">
      <c r="A911" s="35"/>
      <c r="B911" s="37" t="s">
        <v>1299</v>
      </c>
      <c r="C911" s="38">
        <v>44882.0</v>
      </c>
      <c r="D911" s="37">
        <v>73.0</v>
      </c>
      <c r="E911" s="37">
        <v>194.0</v>
      </c>
      <c r="F911" s="37">
        <v>112.75</v>
      </c>
      <c r="G911" s="39">
        <v>763.86</v>
      </c>
      <c r="H911" s="37" t="s">
        <v>1300</v>
      </c>
      <c r="I911" s="52" t="s">
        <v>38</v>
      </c>
      <c r="J911" s="37" t="str">
        <f t="shared" si="4"/>
        <v>No</v>
      </c>
      <c r="K911" s="35"/>
      <c r="L911" s="35"/>
      <c r="M911" s="35"/>
      <c r="N911" s="4"/>
      <c r="O911" s="4"/>
      <c r="P911" s="50"/>
      <c r="Q911" s="50"/>
      <c r="R911" s="50"/>
      <c r="S911" s="51"/>
      <c r="T911" s="4"/>
      <c r="U911" s="4"/>
    </row>
    <row r="912" ht="18.0" customHeight="1">
      <c r="A912" s="35"/>
      <c r="B912" s="37" t="s">
        <v>1301</v>
      </c>
      <c r="C912" s="38">
        <v>44588.0</v>
      </c>
      <c r="D912" s="37">
        <v>21.0</v>
      </c>
      <c r="E912" s="37">
        <v>367.0</v>
      </c>
      <c r="F912" s="37">
        <v>236.31</v>
      </c>
      <c r="G912" s="39">
        <v>6956.08</v>
      </c>
      <c r="H912" s="37" t="s">
        <v>1302</v>
      </c>
      <c r="I912" s="52" t="s">
        <v>38</v>
      </c>
      <c r="J912" s="37" t="str">
        <f t="shared" si="4"/>
        <v>No</v>
      </c>
      <c r="K912" s="35"/>
      <c r="L912" s="35"/>
      <c r="M912" s="35"/>
      <c r="N912" s="4"/>
      <c r="O912" s="4"/>
      <c r="P912" s="50"/>
      <c r="Q912" s="50"/>
      <c r="R912" s="50"/>
      <c r="S912" s="51"/>
      <c r="T912" s="4"/>
      <c r="U912" s="4"/>
    </row>
    <row r="913" ht="18.0" customHeight="1">
      <c r="A913" s="35"/>
      <c r="B913" s="37" t="s">
        <v>1303</v>
      </c>
      <c r="C913" s="38">
        <v>44849.0</v>
      </c>
      <c r="D913" s="37">
        <v>30.0</v>
      </c>
      <c r="E913" s="37">
        <v>518.0</v>
      </c>
      <c r="F913" s="37">
        <v>18.93</v>
      </c>
      <c r="G913" s="39">
        <v>6308.96</v>
      </c>
      <c r="H913" s="37" t="s">
        <v>1304</v>
      </c>
      <c r="I913" s="52" t="s">
        <v>50</v>
      </c>
      <c r="J913" s="37" t="str">
        <f t="shared" si="4"/>
        <v>No</v>
      </c>
      <c r="K913" s="35"/>
      <c r="L913" s="35"/>
      <c r="M913" s="35"/>
      <c r="N913" s="4"/>
      <c r="O913" s="4"/>
      <c r="P913" s="50"/>
      <c r="Q913" s="50"/>
      <c r="R913" s="50"/>
      <c r="S913" s="51"/>
      <c r="T913" s="4"/>
      <c r="U913" s="4"/>
    </row>
    <row r="914" ht="18.0" customHeight="1">
      <c r="A914" s="35"/>
      <c r="B914" s="37" t="s">
        <v>1305</v>
      </c>
      <c r="C914" s="38">
        <v>44863.0</v>
      </c>
      <c r="D914" s="37">
        <v>67.0</v>
      </c>
      <c r="E914" s="37">
        <v>239.0</v>
      </c>
      <c r="F914" s="37">
        <v>16.43</v>
      </c>
      <c r="G914" s="39">
        <v>7184.59</v>
      </c>
      <c r="H914" s="37" t="s">
        <v>1306</v>
      </c>
      <c r="I914" s="52" t="s">
        <v>50</v>
      </c>
      <c r="J914" s="37" t="str">
        <f t="shared" si="4"/>
        <v>No</v>
      </c>
      <c r="K914" s="35"/>
      <c r="L914" s="35"/>
      <c r="M914" s="35"/>
      <c r="N914" s="4"/>
      <c r="O914" s="4"/>
      <c r="P914" s="50"/>
      <c r="Q914" s="50"/>
      <c r="R914" s="50"/>
      <c r="S914" s="51"/>
      <c r="T914" s="4"/>
      <c r="U914" s="4"/>
    </row>
    <row r="915" ht="18.0" customHeight="1">
      <c r="A915" s="35"/>
      <c r="B915" s="37" t="s">
        <v>1307</v>
      </c>
      <c r="C915" s="38">
        <v>44632.0</v>
      </c>
      <c r="D915" s="37">
        <v>51.0</v>
      </c>
      <c r="E915" s="37">
        <v>283.0</v>
      </c>
      <c r="F915" s="37">
        <v>225.92</v>
      </c>
      <c r="G915" s="39">
        <v>1837.68</v>
      </c>
      <c r="H915" s="37" t="s">
        <v>1308</v>
      </c>
      <c r="I915" s="52" t="s">
        <v>42</v>
      </c>
      <c r="J915" s="37" t="str">
        <f t="shared" si="4"/>
        <v>No</v>
      </c>
      <c r="K915" s="35"/>
      <c r="L915" s="35"/>
      <c r="M915" s="35"/>
      <c r="N915" s="4"/>
      <c r="O915" s="4"/>
      <c r="P915" s="50"/>
      <c r="Q915" s="50"/>
      <c r="R915" s="50"/>
      <c r="S915" s="51"/>
      <c r="T915" s="4"/>
      <c r="U915" s="4"/>
    </row>
    <row r="916" ht="18.0" customHeight="1">
      <c r="A916" s="35"/>
      <c r="B916" s="37" t="s">
        <v>1309</v>
      </c>
      <c r="C916" s="38">
        <v>44737.0</v>
      </c>
      <c r="D916" s="37">
        <v>86.0</v>
      </c>
      <c r="E916" s="37">
        <v>540.0</v>
      </c>
      <c r="F916" s="37">
        <v>39.83</v>
      </c>
      <c r="G916" s="39">
        <v>6339.64</v>
      </c>
      <c r="H916" s="37" t="s">
        <v>1310</v>
      </c>
      <c r="I916" s="52" t="s">
        <v>38</v>
      </c>
      <c r="J916" s="37" t="str">
        <f t="shared" si="4"/>
        <v>No</v>
      </c>
      <c r="K916" s="35"/>
      <c r="L916" s="35"/>
      <c r="M916" s="35"/>
      <c r="N916" s="4"/>
      <c r="O916" s="4"/>
      <c r="P916" s="50"/>
      <c r="Q916" s="50"/>
      <c r="R916" s="50"/>
      <c r="S916" s="51"/>
      <c r="T916" s="4"/>
      <c r="U916" s="4"/>
    </row>
    <row r="917" ht="18.0" customHeight="1">
      <c r="A917" s="35"/>
      <c r="B917" s="37" t="s">
        <v>1311</v>
      </c>
      <c r="C917" s="38">
        <v>44779.0</v>
      </c>
      <c r="D917" s="37">
        <v>74.0</v>
      </c>
      <c r="E917" s="37">
        <v>767.0</v>
      </c>
      <c r="F917" s="37">
        <v>4.96</v>
      </c>
      <c r="G917" s="39">
        <v>8356.8</v>
      </c>
      <c r="H917" s="37" t="s">
        <v>1312</v>
      </c>
      <c r="I917" s="52" t="s">
        <v>42</v>
      </c>
      <c r="J917" s="37" t="str">
        <f t="shared" si="4"/>
        <v>No</v>
      </c>
      <c r="K917" s="35"/>
      <c r="L917" s="35"/>
      <c r="M917" s="35"/>
      <c r="N917" s="4"/>
      <c r="O917" s="4"/>
      <c r="P917" s="50"/>
      <c r="Q917" s="50"/>
      <c r="R917" s="50"/>
      <c r="S917" s="51"/>
      <c r="T917" s="4"/>
      <c r="U917" s="4"/>
    </row>
    <row r="918" ht="18.0" customHeight="1">
      <c r="A918" s="35"/>
      <c r="B918" s="37" t="s">
        <v>1313</v>
      </c>
      <c r="C918" s="38">
        <v>44690.0</v>
      </c>
      <c r="D918" s="37">
        <v>28.0</v>
      </c>
      <c r="E918" s="37">
        <v>89.0</v>
      </c>
      <c r="F918" s="37">
        <v>9.95</v>
      </c>
      <c r="G918" s="39">
        <v>9634.22</v>
      </c>
      <c r="H918" s="37" t="s">
        <v>1314</v>
      </c>
      <c r="I918" s="52" t="s">
        <v>38</v>
      </c>
      <c r="J918" s="37" t="str">
        <f t="shared" si="4"/>
        <v>No</v>
      </c>
      <c r="K918" s="35"/>
      <c r="L918" s="35"/>
      <c r="M918" s="35"/>
      <c r="N918" s="4"/>
      <c r="O918" s="4"/>
      <c r="P918" s="50"/>
      <c r="Q918" s="50"/>
      <c r="R918" s="50"/>
      <c r="S918" s="51"/>
      <c r="T918" s="4"/>
      <c r="U918" s="4"/>
    </row>
    <row r="919" ht="18.0" customHeight="1">
      <c r="A919" s="35"/>
      <c r="B919" s="37" t="s">
        <v>1315</v>
      </c>
      <c r="C919" s="38">
        <v>44663.0</v>
      </c>
      <c r="D919" s="37">
        <v>5.0</v>
      </c>
      <c r="E919" s="37">
        <v>745.0</v>
      </c>
      <c r="F919" s="37">
        <v>137.11</v>
      </c>
      <c r="G919" s="39">
        <v>4126.97</v>
      </c>
      <c r="H919" s="37" t="s">
        <v>1316</v>
      </c>
      <c r="I919" s="52" t="s">
        <v>50</v>
      </c>
      <c r="J919" s="37" t="str">
        <f t="shared" si="4"/>
        <v>No</v>
      </c>
      <c r="K919" s="35"/>
      <c r="L919" s="35"/>
      <c r="M919" s="35"/>
      <c r="N919" s="4"/>
      <c r="O919" s="4"/>
      <c r="P919" s="50"/>
      <c r="Q919" s="50"/>
      <c r="R919" s="50"/>
      <c r="S919" s="51"/>
      <c r="T919" s="4"/>
      <c r="U919" s="4"/>
    </row>
    <row r="920" ht="18.0" customHeight="1">
      <c r="A920" s="35"/>
      <c r="B920" s="37" t="s">
        <v>1317</v>
      </c>
      <c r="C920" s="38">
        <v>44573.0</v>
      </c>
      <c r="D920" s="37">
        <v>61.0</v>
      </c>
      <c r="E920" s="37">
        <v>532.0</v>
      </c>
      <c r="F920" s="37">
        <v>56.97</v>
      </c>
      <c r="G920" s="39">
        <v>7618.41</v>
      </c>
      <c r="H920" s="37" t="s">
        <v>1318</v>
      </c>
      <c r="I920" s="52" t="s">
        <v>38</v>
      </c>
      <c r="J920" s="37" t="str">
        <f t="shared" si="4"/>
        <v>No</v>
      </c>
      <c r="K920" s="35"/>
      <c r="L920" s="35"/>
      <c r="M920" s="35"/>
      <c r="N920" s="4"/>
      <c r="O920" s="4"/>
      <c r="P920" s="50"/>
      <c r="Q920" s="50"/>
      <c r="R920" s="50"/>
      <c r="S920" s="51"/>
      <c r="T920" s="4"/>
      <c r="U920" s="4"/>
    </row>
    <row r="921" ht="18.0" customHeight="1">
      <c r="A921" s="35"/>
      <c r="B921" s="37" t="s">
        <v>1319</v>
      </c>
      <c r="C921" s="38">
        <v>44568.0</v>
      </c>
      <c r="D921" s="37">
        <v>96.0</v>
      </c>
      <c r="E921" s="37">
        <v>28.0</v>
      </c>
      <c r="F921" s="37">
        <v>197.06</v>
      </c>
      <c r="G921" s="39">
        <v>6417.88</v>
      </c>
      <c r="H921" s="37" t="s">
        <v>1320</v>
      </c>
      <c r="I921" s="52" t="s">
        <v>50</v>
      </c>
      <c r="J921" s="37" t="str">
        <f t="shared" si="4"/>
        <v>No</v>
      </c>
      <c r="K921" s="35"/>
      <c r="L921" s="35"/>
      <c r="M921" s="35"/>
      <c r="N921" s="4"/>
      <c r="O921" s="4"/>
      <c r="P921" s="50"/>
      <c r="Q921" s="50"/>
      <c r="R921" s="50"/>
      <c r="S921" s="51"/>
      <c r="T921" s="4"/>
      <c r="U921" s="4"/>
    </row>
    <row r="922" ht="18.0" customHeight="1">
      <c r="A922" s="35"/>
      <c r="B922" s="37" t="s">
        <v>17</v>
      </c>
      <c r="C922" s="38">
        <v>44680.0</v>
      </c>
      <c r="D922" s="37">
        <v>74.0</v>
      </c>
      <c r="E922" s="37">
        <v>788.0</v>
      </c>
      <c r="F922" s="37">
        <v>136.59</v>
      </c>
      <c r="G922" s="39">
        <v>3596.27</v>
      </c>
      <c r="H922" s="37" t="s">
        <v>1321</v>
      </c>
      <c r="I922" s="52" t="s">
        <v>42</v>
      </c>
      <c r="J922" s="37" t="str">
        <f t="shared" si="4"/>
        <v>No</v>
      </c>
      <c r="K922" s="35"/>
      <c r="L922" s="35"/>
      <c r="M922" s="35"/>
      <c r="N922" s="4"/>
      <c r="O922" s="4"/>
      <c r="P922" s="50"/>
      <c r="Q922" s="50"/>
      <c r="R922" s="50"/>
      <c r="S922" s="51"/>
      <c r="T922" s="4"/>
      <c r="U922" s="4"/>
    </row>
    <row r="923" ht="18.0" customHeight="1">
      <c r="A923" s="35"/>
      <c r="B923" s="37" t="s">
        <v>1322</v>
      </c>
      <c r="C923" s="38">
        <v>44839.0</v>
      </c>
      <c r="D923" s="37">
        <v>2.0</v>
      </c>
      <c r="E923" s="37">
        <v>773.0</v>
      </c>
      <c r="F923" s="37">
        <v>143.71</v>
      </c>
      <c r="G923" s="39">
        <v>6075.92</v>
      </c>
      <c r="H923" s="37" t="s">
        <v>1323</v>
      </c>
      <c r="I923" s="52" t="s">
        <v>38</v>
      </c>
      <c r="J923" s="37" t="str">
        <f t="shared" si="4"/>
        <v>No</v>
      </c>
      <c r="K923" s="35"/>
      <c r="L923" s="35"/>
      <c r="M923" s="35"/>
      <c r="N923" s="4"/>
      <c r="O923" s="4"/>
      <c r="P923" s="50"/>
      <c r="Q923" s="50"/>
      <c r="R923" s="50"/>
      <c r="S923" s="51"/>
      <c r="T923" s="4"/>
      <c r="U923" s="4"/>
    </row>
    <row r="924" ht="18.0" customHeight="1">
      <c r="A924" s="35"/>
      <c r="B924" s="37" t="s">
        <v>1324</v>
      </c>
      <c r="C924" s="38">
        <v>44795.0</v>
      </c>
      <c r="D924" s="37">
        <v>1.0</v>
      </c>
      <c r="E924" s="37">
        <v>697.0</v>
      </c>
      <c r="F924" s="37">
        <v>39.83</v>
      </c>
      <c r="G924" s="39">
        <v>1904.84</v>
      </c>
      <c r="H924" s="37" t="s">
        <v>87</v>
      </c>
      <c r="I924" s="52" t="s">
        <v>38</v>
      </c>
      <c r="J924" s="37" t="str">
        <f t="shared" si="4"/>
        <v>No</v>
      </c>
      <c r="K924" s="35"/>
      <c r="L924" s="35"/>
      <c r="M924" s="35"/>
      <c r="N924" s="4"/>
      <c r="O924" s="4"/>
      <c r="P924" s="50"/>
      <c r="Q924" s="50"/>
      <c r="R924" s="50"/>
      <c r="S924" s="51"/>
      <c r="T924" s="4"/>
      <c r="U924" s="4"/>
    </row>
    <row r="925" ht="18.0" customHeight="1">
      <c r="A925" s="35"/>
      <c r="B925" s="37" t="s">
        <v>1325</v>
      </c>
      <c r="C925" s="38">
        <v>44723.0</v>
      </c>
      <c r="D925" s="37">
        <v>23.0</v>
      </c>
      <c r="E925" s="37">
        <v>60.0</v>
      </c>
      <c r="F925" s="37">
        <v>245.58</v>
      </c>
      <c r="G925" s="39">
        <v>6466.03</v>
      </c>
      <c r="H925" s="37" t="s">
        <v>37</v>
      </c>
      <c r="I925" s="52" t="s">
        <v>42</v>
      </c>
      <c r="J925" s="37" t="str">
        <f t="shared" si="4"/>
        <v>No</v>
      </c>
      <c r="K925" s="35"/>
      <c r="L925" s="35"/>
      <c r="M925" s="35"/>
      <c r="N925" s="4"/>
      <c r="O925" s="4"/>
      <c r="P925" s="50"/>
      <c r="Q925" s="50"/>
      <c r="R925" s="50"/>
      <c r="S925" s="51"/>
      <c r="T925" s="4"/>
      <c r="U925" s="4"/>
    </row>
    <row r="926" ht="18.0" customHeight="1">
      <c r="A926" s="35"/>
      <c r="B926" s="37" t="s">
        <v>36</v>
      </c>
      <c r="C926" s="38">
        <v>44636.0</v>
      </c>
      <c r="D926" s="37">
        <v>95.0</v>
      </c>
      <c r="E926" s="37">
        <v>572.0</v>
      </c>
      <c r="F926" s="37">
        <v>109.64</v>
      </c>
      <c r="G926" s="39">
        <v>7540.31</v>
      </c>
      <c r="H926" s="37" t="s">
        <v>41</v>
      </c>
      <c r="I926" s="52" t="s">
        <v>50</v>
      </c>
      <c r="J926" s="37" t="str">
        <f t="shared" si="4"/>
        <v>No</v>
      </c>
      <c r="K926" s="35"/>
      <c r="L926" s="35"/>
      <c r="M926" s="35"/>
      <c r="N926" s="4"/>
      <c r="O926" s="4"/>
      <c r="P926" s="50"/>
      <c r="Q926" s="50"/>
      <c r="R926" s="50"/>
      <c r="S926" s="51"/>
      <c r="T926" s="4"/>
      <c r="U926" s="4"/>
    </row>
    <row r="927" ht="18.0" customHeight="1">
      <c r="A927" s="35"/>
      <c r="B927" s="37" t="s">
        <v>1326</v>
      </c>
      <c r="C927" s="38">
        <v>44864.0</v>
      </c>
      <c r="D927" s="37">
        <v>9.0</v>
      </c>
      <c r="E927" s="37">
        <v>611.0</v>
      </c>
      <c r="F927" s="37">
        <v>37.64</v>
      </c>
      <c r="G927" s="39">
        <v>1268.35</v>
      </c>
      <c r="H927" s="37" t="s">
        <v>45</v>
      </c>
      <c r="I927" s="52" t="s">
        <v>42</v>
      </c>
      <c r="J927" s="37" t="str">
        <f t="shared" si="4"/>
        <v>No</v>
      </c>
      <c r="K927" s="35"/>
      <c r="L927" s="35"/>
      <c r="M927" s="35"/>
      <c r="N927" s="4"/>
      <c r="O927" s="4"/>
      <c r="P927" s="50"/>
      <c r="Q927" s="50"/>
      <c r="R927" s="50"/>
      <c r="S927" s="51"/>
      <c r="T927" s="4"/>
      <c r="U927" s="4"/>
    </row>
    <row r="928" ht="18.0" customHeight="1">
      <c r="A928" s="35"/>
      <c r="B928" s="37" t="s">
        <v>1327</v>
      </c>
      <c r="C928" s="38">
        <v>44824.0</v>
      </c>
      <c r="D928" s="37">
        <v>38.0</v>
      </c>
      <c r="E928" s="37">
        <v>559.0</v>
      </c>
      <c r="F928" s="37">
        <v>68.9</v>
      </c>
      <c r="G928" s="39">
        <v>9410.18</v>
      </c>
      <c r="H928" s="37" t="s">
        <v>49</v>
      </c>
      <c r="I928" s="52" t="s">
        <v>38</v>
      </c>
      <c r="J928" s="37" t="str">
        <f t="shared" si="4"/>
        <v>No</v>
      </c>
      <c r="K928" s="35"/>
      <c r="L928" s="35"/>
      <c r="M928" s="35"/>
      <c r="N928" s="4"/>
      <c r="O928" s="4"/>
      <c r="P928" s="50"/>
      <c r="Q928" s="50"/>
      <c r="R928" s="50"/>
      <c r="S928" s="51"/>
      <c r="T928" s="4"/>
      <c r="U928" s="4"/>
    </row>
    <row r="929" ht="18.0" customHeight="1">
      <c r="A929" s="35"/>
      <c r="B929" s="37" t="s">
        <v>1328</v>
      </c>
      <c r="C929" s="38">
        <v>44924.0</v>
      </c>
      <c r="D929" s="37">
        <v>66.0</v>
      </c>
      <c r="E929" s="37">
        <v>619.0</v>
      </c>
      <c r="F929" s="37">
        <v>191.89</v>
      </c>
      <c r="G929" s="39">
        <v>6048.97</v>
      </c>
      <c r="H929" s="37" t="s">
        <v>53</v>
      </c>
      <c r="I929" s="52" t="s">
        <v>50</v>
      </c>
      <c r="J929" s="37" t="str">
        <f t="shared" si="4"/>
        <v>No</v>
      </c>
      <c r="K929" s="35"/>
      <c r="L929" s="35"/>
      <c r="M929" s="35"/>
      <c r="N929" s="4"/>
      <c r="O929" s="4"/>
      <c r="P929" s="50"/>
      <c r="Q929" s="50"/>
      <c r="R929" s="50"/>
      <c r="S929" s="51"/>
      <c r="T929" s="4"/>
      <c r="U929" s="4"/>
    </row>
    <row r="930" ht="18.0" customHeight="1">
      <c r="A930" s="35"/>
      <c r="B930" s="37" t="s">
        <v>1329</v>
      </c>
      <c r="C930" s="38">
        <v>44787.0</v>
      </c>
      <c r="D930" s="37">
        <v>87.0</v>
      </c>
      <c r="E930" s="37">
        <v>13.0</v>
      </c>
      <c r="F930" s="37">
        <v>168.68</v>
      </c>
      <c r="G930" s="39">
        <v>1079.85</v>
      </c>
      <c r="H930" s="37" t="s">
        <v>56</v>
      </c>
      <c r="I930" s="52" t="s">
        <v>42</v>
      </c>
      <c r="J930" s="37" t="str">
        <f t="shared" si="4"/>
        <v>No</v>
      </c>
      <c r="K930" s="35"/>
      <c r="L930" s="35"/>
      <c r="M930" s="35"/>
      <c r="N930" s="4"/>
      <c r="O930" s="4"/>
      <c r="P930" s="50"/>
      <c r="Q930" s="50"/>
      <c r="R930" s="50"/>
      <c r="S930" s="51"/>
      <c r="T930" s="4"/>
      <c r="U930" s="4"/>
    </row>
    <row r="931" ht="18.0" customHeight="1">
      <c r="A931" s="35"/>
      <c r="B931" s="37" t="s">
        <v>1330</v>
      </c>
      <c r="C931" s="38">
        <v>44831.0</v>
      </c>
      <c r="D931" s="37">
        <v>100.0</v>
      </c>
      <c r="E931" s="37">
        <v>856.0</v>
      </c>
      <c r="F931" s="37">
        <v>221.82</v>
      </c>
      <c r="G931" s="39">
        <v>8552.76</v>
      </c>
      <c r="H931" s="37" t="s">
        <v>59</v>
      </c>
      <c r="I931" s="52" t="s">
        <v>50</v>
      </c>
      <c r="J931" s="37" t="str">
        <f t="shared" si="4"/>
        <v>No</v>
      </c>
      <c r="K931" s="35"/>
      <c r="L931" s="35"/>
      <c r="M931" s="35"/>
      <c r="N931" s="4"/>
      <c r="O931" s="4"/>
      <c r="P931" s="50"/>
      <c r="Q931" s="50"/>
      <c r="R931" s="50"/>
      <c r="S931" s="51"/>
      <c r="T931" s="4"/>
      <c r="U931" s="4"/>
    </row>
    <row r="932" ht="18.0" customHeight="1">
      <c r="A932" s="35"/>
      <c r="B932" s="37" t="s">
        <v>1331</v>
      </c>
      <c r="C932" s="38">
        <v>44642.0</v>
      </c>
      <c r="D932" s="37">
        <v>75.0</v>
      </c>
      <c r="E932" s="37">
        <v>974.0</v>
      </c>
      <c r="F932" s="37">
        <v>38.38</v>
      </c>
      <c r="G932" s="39">
        <v>5757.12</v>
      </c>
      <c r="H932" s="37" t="s">
        <v>61</v>
      </c>
      <c r="I932" s="52" t="s">
        <v>50</v>
      </c>
      <c r="J932" s="37" t="str">
        <f t="shared" si="4"/>
        <v>No</v>
      </c>
      <c r="K932" s="35"/>
      <c r="L932" s="35"/>
      <c r="M932" s="35"/>
      <c r="N932" s="4"/>
      <c r="O932" s="4"/>
      <c r="P932" s="50"/>
      <c r="Q932" s="50"/>
      <c r="R932" s="50"/>
      <c r="S932" s="51"/>
      <c r="T932" s="4"/>
      <c r="U932" s="4"/>
    </row>
    <row r="933" ht="18.0" customHeight="1">
      <c r="A933" s="35"/>
      <c r="B933" s="37" t="s">
        <v>1332</v>
      </c>
      <c r="C933" s="38">
        <v>44819.0</v>
      </c>
      <c r="D933" s="37">
        <v>62.0</v>
      </c>
      <c r="E933" s="37">
        <v>636.0</v>
      </c>
      <c r="F933" s="37">
        <v>133.3</v>
      </c>
      <c r="G933" s="39">
        <v>5165.15</v>
      </c>
      <c r="H933" s="37" t="s">
        <v>63</v>
      </c>
      <c r="I933" s="52" t="s">
        <v>50</v>
      </c>
      <c r="J933" s="37" t="str">
        <f t="shared" si="4"/>
        <v>No</v>
      </c>
      <c r="K933" s="35"/>
      <c r="L933" s="35"/>
      <c r="M933" s="35"/>
      <c r="N933" s="4"/>
      <c r="O933" s="4"/>
      <c r="P933" s="50"/>
      <c r="Q933" s="50"/>
      <c r="R933" s="50"/>
      <c r="S933" s="51"/>
      <c r="T933" s="4"/>
      <c r="U933" s="4"/>
    </row>
    <row r="934" ht="18.0" customHeight="1">
      <c r="A934" s="35"/>
      <c r="B934" s="37" t="s">
        <v>1333</v>
      </c>
      <c r="C934" s="38">
        <v>44684.0</v>
      </c>
      <c r="D934" s="37">
        <v>87.0</v>
      </c>
      <c r="E934" s="37">
        <v>280.0</v>
      </c>
      <c r="F934" s="37">
        <v>136.68</v>
      </c>
      <c r="G934" s="39">
        <v>6857.54</v>
      </c>
      <c r="H934" s="37" t="s">
        <v>66</v>
      </c>
      <c r="I934" s="52" t="s">
        <v>50</v>
      </c>
      <c r="J934" s="37" t="str">
        <f t="shared" si="4"/>
        <v>No</v>
      </c>
      <c r="K934" s="35"/>
      <c r="L934" s="35"/>
      <c r="M934" s="35"/>
      <c r="N934" s="4"/>
      <c r="O934" s="4"/>
      <c r="P934" s="50"/>
      <c r="Q934" s="50"/>
      <c r="R934" s="50"/>
      <c r="S934" s="51"/>
      <c r="T934" s="4"/>
      <c r="U934" s="4"/>
    </row>
    <row r="935" ht="18.0" customHeight="1">
      <c r="A935" s="35"/>
      <c r="B935" s="37" t="s">
        <v>1334</v>
      </c>
      <c r="C935" s="38">
        <v>44723.0</v>
      </c>
      <c r="D935" s="37">
        <v>43.0</v>
      </c>
      <c r="E935" s="37">
        <v>849.0</v>
      </c>
      <c r="F935" s="37">
        <v>245.73</v>
      </c>
      <c r="G935" s="39">
        <v>7745.54</v>
      </c>
      <c r="H935" s="37" t="s">
        <v>68</v>
      </c>
      <c r="I935" s="52" t="s">
        <v>38</v>
      </c>
      <c r="J935" s="37" t="str">
        <f t="shared" si="4"/>
        <v>No</v>
      </c>
      <c r="K935" s="35"/>
      <c r="L935" s="35"/>
      <c r="M935" s="35"/>
      <c r="N935" s="4"/>
      <c r="O935" s="4"/>
      <c r="P935" s="50"/>
      <c r="Q935" s="50"/>
      <c r="R935" s="50"/>
      <c r="S935" s="51"/>
      <c r="T935" s="4"/>
      <c r="U935" s="4"/>
    </row>
    <row r="936" ht="18.0" customHeight="1">
      <c r="A936" s="35"/>
      <c r="B936" s="37" t="s">
        <v>1335</v>
      </c>
      <c r="C936" s="38">
        <v>44671.0</v>
      </c>
      <c r="D936" s="37">
        <v>7.0</v>
      </c>
      <c r="E936" s="37">
        <v>395.0</v>
      </c>
      <c r="F936" s="37">
        <v>86.36</v>
      </c>
      <c r="G936" s="39">
        <v>3801.08</v>
      </c>
      <c r="H936" s="37" t="s">
        <v>71</v>
      </c>
      <c r="I936" s="52" t="s">
        <v>38</v>
      </c>
      <c r="J936" s="37" t="str">
        <f t="shared" si="4"/>
        <v>Yes</v>
      </c>
      <c r="K936" s="35"/>
      <c r="L936" s="35"/>
      <c r="M936" s="35"/>
      <c r="N936" s="4"/>
      <c r="O936" s="4"/>
      <c r="P936" s="50"/>
      <c r="Q936" s="50"/>
      <c r="R936" s="50"/>
      <c r="S936" s="51"/>
      <c r="T936" s="4"/>
      <c r="U936" s="4"/>
    </row>
    <row r="937" ht="18.0" customHeight="1">
      <c r="A937" s="35"/>
      <c r="B937" s="37" t="s">
        <v>1336</v>
      </c>
      <c r="C937" s="38">
        <v>44803.0</v>
      </c>
      <c r="D937" s="37">
        <v>44.0</v>
      </c>
      <c r="E937" s="37">
        <v>204.0</v>
      </c>
      <c r="F937" s="37">
        <v>103.87</v>
      </c>
      <c r="G937" s="39">
        <v>8275.6</v>
      </c>
      <c r="H937" s="37" t="s">
        <v>1337</v>
      </c>
      <c r="I937" s="52" t="s">
        <v>42</v>
      </c>
      <c r="J937" s="37" t="str">
        <f t="shared" si="4"/>
        <v>No</v>
      </c>
      <c r="K937" s="35"/>
      <c r="L937" s="35"/>
      <c r="M937" s="35"/>
      <c r="N937" s="4"/>
      <c r="O937" s="4"/>
      <c r="P937" s="50"/>
      <c r="Q937" s="50"/>
      <c r="R937" s="50"/>
      <c r="S937" s="51"/>
      <c r="T937" s="4"/>
      <c r="U937" s="4"/>
    </row>
    <row r="938" ht="18.0" customHeight="1">
      <c r="A938" s="35"/>
      <c r="B938" s="37" t="s">
        <v>1338</v>
      </c>
      <c r="C938" s="38">
        <v>44863.0</v>
      </c>
      <c r="D938" s="37">
        <v>82.0</v>
      </c>
      <c r="E938" s="37">
        <v>438.0</v>
      </c>
      <c r="F938" s="37">
        <v>205.8</v>
      </c>
      <c r="G938" s="39">
        <v>965.58</v>
      </c>
      <c r="H938" s="37" t="s">
        <v>1339</v>
      </c>
      <c r="I938" s="52" t="s">
        <v>38</v>
      </c>
      <c r="J938" s="37" t="str">
        <f t="shared" si="4"/>
        <v>No</v>
      </c>
      <c r="K938" s="35"/>
      <c r="L938" s="35"/>
      <c r="M938" s="35"/>
      <c r="N938" s="4"/>
      <c r="O938" s="4"/>
      <c r="P938" s="50"/>
      <c r="Q938" s="50"/>
      <c r="R938" s="50"/>
      <c r="S938" s="51"/>
      <c r="T938" s="4"/>
      <c r="U938" s="4"/>
    </row>
    <row r="939" ht="18.0" customHeight="1">
      <c r="A939" s="35"/>
      <c r="B939" s="37" t="s">
        <v>1340</v>
      </c>
      <c r="C939" s="38">
        <v>44672.0</v>
      </c>
      <c r="D939" s="37">
        <v>81.0</v>
      </c>
      <c r="E939" s="37">
        <v>626.0</v>
      </c>
      <c r="F939" s="37">
        <v>161.6</v>
      </c>
      <c r="G939" s="39">
        <v>8771.16</v>
      </c>
      <c r="H939" s="37" t="s">
        <v>1341</v>
      </c>
      <c r="I939" s="52" t="s">
        <v>38</v>
      </c>
      <c r="J939" s="37" t="str">
        <f t="shared" si="4"/>
        <v>No</v>
      </c>
      <c r="K939" s="35"/>
      <c r="L939" s="35"/>
      <c r="M939" s="35"/>
      <c r="N939" s="4"/>
      <c r="O939" s="4"/>
      <c r="P939" s="50"/>
      <c r="Q939" s="50"/>
      <c r="R939" s="50"/>
      <c r="S939" s="51"/>
      <c r="T939" s="4"/>
      <c r="U939" s="4"/>
    </row>
    <row r="940" ht="18.0" customHeight="1">
      <c r="A940" s="35"/>
      <c r="B940" s="37" t="s">
        <v>1342</v>
      </c>
      <c r="C940" s="38">
        <v>44572.0</v>
      </c>
      <c r="D940" s="37">
        <v>65.0</v>
      </c>
      <c r="E940" s="37">
        <v>855.0</v>
      </c>
      <c r="F940" s="37">
        <v>238.65</v>
      </c>
      <c r="G940" s="39">
        <v>6350.66</v>
      </c>
      <c r="H940" s="37" t="s">
        <v>1343</v>
      </c>
      <c r="I940" s="52" t="s">
        <v>50</v>
      </c>
      <c r="J940" s="37" t="str">
        <f t="shared" si="4"/>
        <v>No</v>
      </c>
      <c r="K940" s="35"/>
      <c r="L940" s="35"/>
      <c r="M940" s="35"/>
      <c r="N940" s="4"/>
      <c r="O940" s="4"/>
      <c r="P940" s="50"/>
      <c r="Q940" s="50"/>
      <c r="R940" s="50"/>
      <c r="S940" s="51"/>
      <c r="T940" s="4"/>
      <c r="U940" s="4"/>
    </row>
    <row r="941" ht="18.0" customHeight="1">
      <c r="A941" s="35"/>
      <c r="B941" s="37" t="s">
        <v>1344</v>
      </c>
      <c r="C941" s="38">
        <v>44605.0</v>
      </c>
      <c r="D941" s="37">
        <v>32.0</v>
      </c>
      <c r="E941" s="37">
        <v>827.0</v>
      </c>
      <c r="F941" s="37">
        <v>227.12</v>
      </c>
      <c r="G941" s="39">
        <v>6823.66</v>
      </c>
      <c r="H941" s="37" t="s">
        <v>1345</v>
      </c>
      <c r="I941" s="52" t="s">
        <v>38</v>
      </c>
      <c r="J941" s="37" t="str">
        <f t="shared" si="4"/>
        <v>No</v>
      </c>
      <c r="K941" s="35"/>
      <c r="L941" s="35"/>
      <c r="M941" s="35"/>
      <c r="N941" s="4"/>
      <c r="O941" s="4"/>
      <c r="P941" s="50"/>
      <c r="Q941" s="50"/>
      <c r="R941" s="50"/>
      <c r="S941" s="51"/>
      <c r="T941" s="4"/>
      <c r="U941" s="4"/>
    </row>
    <row r="942" ht="18.0" customHeight="1">
      <c r="A942" s="35"/>
      <c r="B942" s="37" t="s">
        <v>1346</v>
      </c>
      <c r="C942" s="38">
        <v>44591.0</v>
      </c>
      <c r="D942" s="37">
        <v>14.0</v>
      </c>
      <c r="E942" s="37">
        <v>455.0</v>
      </c>
      <c r="F942" s="37">
        <v>115.07</v>
      </c>
      <c r="G942" s="39">
        <v>4629.29</v>
      </c>
      <c r="H942" s="37" t="s">
        <v>1347</v>
      </c>
      <c r="I942" s="52" t="s">
        <v>50</v>
      </c>
      <c r="J942" s="37" t="str">
        <f t="shared" si="4"/>
        <v>No</v>
      </c>
      <c r="K942" s="35"/>
      <c r="L942" s="35"/>
      <c r="M942" s="35"/>
      <c r="N942" s="4"/>
      <c r="O942" s="4"/>
      <c r="P942" s="50"/>
      <c r="Q942" s="50"/>
      <c r="R942" s="50"/>
      <c r="S942" s="51"/>
      <c r="T942" s="4"/>
      <c r="U942" s="4"/>
    </row>
    <row r="943" ht="18.0" customHeight="1">
      <c r="A943" s="35"/>
      <c r="B943" s="37" t="s">
        <v>40</v>
      </c>
      <c r="C943" s="38">
        <v>44900.0</v>
      </c>
      <c r="D943" s="37">
        <v>92.0</v>
      </c>
      <c r="E943" s="37">
        <v>222.0</v>
      </c>
      <c r="F943" s="37">
        <v>235.19</v>
      </c>
      <c r="G943" s="39">
        <v>8223.85</v>
      </c>
      <c r="H943" s="37" t="s">
        <v>1348</v>
      </c>
      <c r="I943" s="52" t="s">
        <v>42</v>
      </c>
      <c r="J943" s="37" t="str">
        <f t="shared" si="4"/>
        <v>No</v>
      </c>
      <c r="K943" s="35"/>
      <c r="L943" s="35"/>
      <c r="M943" s="35"/>
      <c r="N943" s="4"/>
      <c r="O943" s="4"/>
      <c r="P943" s="50"/>
      <c r="Q943" s="50"/>
      <c r="R943" s="50"/>
      <c r="S943" s="51"/>
      <c r="T943" s="4"/>
      <c r="U943" s="4"/>
    </row>
    <row r="944" ht="18.0" customHeight="1">
      <c r="A944" s="35"/>
      <c r="B944" s="37" t="s">
        <v>1349</v>
      </c>
      <c r="C944" s="38">
        <v>44613.0</v>
      </c>
      <c r="D944" s="37">
        <v>9.0</v>
      </c>
      <c r="E944" s="37">
        <v>357.0</v>
      </c>
      <c r="F944" s="37">
        <v>206.57</v>
      </c>
      <c r="G944" s="39">
        <v>7029.93</v>
      </c>
      <c r="H944" s="37" t="s">
        <v>1350</v>
      </c>
      <c r="I944" s="52" t="s">
        <v>50</v>
      </c>
      <c r="J944" s="37" t="str">
        <f t="shared" si="4"/>
        <v>No</v>
      </c>
      <c r="K944" s="35"/>
      <c r="L944" s="35"/>
      <c r="M944" s="35"/>
      <c r="N944" s="4"/>
      <c r="O944" s="4"/>
      <c r="P944" s="50"/>
      <c r="Q944" s="50"/>
      <c r="R944" s="50"/>
      <c r="S944" s="51"/>
      <c r="T944" s="4"/>
      <c r="U944" s="4"/>
    </row>
    <row r="945" ht="18.0" customHeight="1">
      <c r="A945" s="35"/>
      <c r="B945" s="37" t="s">
        <v>1351</v>
      </c>
      <c r="C945" s="38">
        <v>44855.0</v>
      </c>
      <c r="D945" s="37">
        <v>84.0</v>
      </c>
      <c r="E945" s="37">
        <v>919.0</v>
      </c>
      <c r="F945" s="37">
        <v>23.83</v>
      </c>
      <c r="G945" s="39">
        <v>6299.29</v>
      </c>
      <c r="H945" s="37" t="s">
        <v>1352</v>
      </c>
      <c r="I945" s="52" t="s">
        <v>42</v>
      </c>
      <c r="J945" s="37" t="str">
        <f t="shared" si="4"/>
        <v>No</v>
      </c>
      <c r="K945" s="35"/>
      <c r="L945" s="35"/>
      <c r="M945" s="35"/>
      <c r="N945" s="4"/>
      <c r="O945" s="4"/>
      <c r="P945" s="50"/>
      <c r="Q945" s="50"/>
      <c r="R945" s="50"/>
      <c r="S945" s="51"/>
      <c r="T945" s="4"/>
      <c r="U945" s="4"/>
    </row>
    <row r="946" ht="18.0" customHeight="1">
      <c r="A946" s="35"/>
      <c r="B946" s="37" t="s">
        <v>1353</v>
      </c>
      <c r="C946" s="38">
        <v>44580.0</v>
      </c>
      <c r="D946" s="37">
        <v>95.0</v>
      </c>
      <c r="E946" s="37">
        <v>329.0</v>
      </c>
      <c r="F946" s="37">
        <v>45.67</v>
      </c>
      <c r="G946" s="39">
        <v>1582.69</v>
      </c>
      <c r="H946" s="37" t="s">
        <v>1354</v>
      </c>
      <c r="I946" s="52" t="s">
        <v>50</v>
      </c>
      <c r="J946" s="37" t="str">
        <f t="shared" si="4"/>
        <v>No</v>
      </c>
      <c r="K946" s="35"/>
      <c r="L946" s="35"/>
      <c r="M946" s="35"/>
      <c r="N946" s="4"/>
      <c r="O946" s="4"/>
      <c r="P946" s="50"/>
      <c r="Q946" s="50"/>
      <c r="R946" s="50"/>
      <c r="S946" s="51"/>
      <c r="T946" s="4"/>
      <c r="U946" s="4"/>
    </row>
    <row r="947" ht="18.0" customHeight="1">
      <c r="A947" s="35"/>
      <c r="B947" s="37" t="s">
        <v>1355</v>
      </c>
      <c r="C947" s="38">
        <v>44891.0</v>
      </c>
      <c r="D947" s="37">
        <v>7.0</v>
      </c>
      <c r="E947" s="37">
        <v>848.0</v>
      </c>
      <c r="F947" s="37">
        <v>236.02</v>
      </c>
      <c r="G947" s="39">
        <v>7850.13</v>
      </c>
      <c r="H947" s="37" t="s">
        <v>87</v>
      </c>
      <c r="I947" s="52" t="s">
        <v>42</v>
      </c>
      <c r="J947" s="37" t="str">
        <f t="shared" si="4"/>
        <v>Yes</v>
      </c>
      <c r="K947" s="35"/>
      <c r="L947" s="35"/>
      <c r="M947" s="35"/>
      <c r="N947" s="4"/>
      <c r="O947" s="4"/>
      <c r="P947" s="50"/>
      <c r="Q947" s="50"/>
      <c r="R947" s="50"/>
      <c r="S947" s="51"/>
      <c r="T947" s="4"/>
      <c r="U947" s="4"/>
    </row>
    <row r="948" ht="18.0" customHeight="1">
      <c r="A948" s="35"/>
      <c r="B948" s="37" t="s">
        <v>1356</v>
      </c>
      <c r="C948" s="38">
        <v>44821.0</v>
      </c>
      <c r="D948" s="37">
        <v>27.0</v>
      </c>
      <c r="E948" s="37">
        <v>64.0</v>
      </c>
      <c r="F948" s="37">
        <v>152.61</v>
      </c>
      <c r="G948" s="39">
        <v>6861.3</v>
      </c>
      <c r="H948" s="37" t="s">
        <v>37</v>
      </c>
      <c r="I948" s="52" t="s">
        <v>50</v>
      </c>
      <c r="J948" s="37" t="str">
        <f t="shared" si="4"/>
        <v>No</v>
      </c>
      <c r="K948" s="35"/>
      <c r="L948" s="35"/>
      <c r="M948" s="35"/>
      <c r="N948" s="4"/>
      <c r="O948" s="4"/>
      <c r="P948" s="50"/>
      <c r="Q948" s="50"/>
      <c r="R948" s="50"/>
      <c r="S948" s="51"/>
      <c r="T948" s="4"/>
      <c r="U948" s="4"/>
    </row>
    <row r="949" ht="18.0" customHeight="1">
      <c r="A949" s="35"/>
      <c r="B949" s="37" t="s">
        <v>21</v>
      </c>
      <c r="C949" s="38">
        <v>44769.0</v>
      </c>
      <c r="D949" s="37">
        <v>10.0</v>
      </c>
      <c r="E949" s="37">
        <v>346.0</v>
      </c>
      <c r="F949" s="37">
        <v>123.2</v>
      </c>
      <c r="G949" s="39">
        <v>8272.55</v>
      </c>
      <c r="H949" s="37" t="s">
        <v>41</v>
      </c>
      <c r="I949" s="52" t="s">
        <v>42</v>
      </c>
      <c r="J949" s="37" t="str">
        <f t="shared" si="4"/>
        <v>No</v>
      </c>
      <c r="K949" s="35"/>
      <c r="L949" s="35"/>
      <c r="M949" s="35"/>
      <c r="N949" s="4"/>
      <c r="O949" s="4"/>
      <c r="P949" s="50"/>
      <c r="Q949" s="50"/>
      <c r="R949" s="50"/>
      <c r="S949" s="51"/>
      <c r="T949" s="4"/>
      <c r="U949" s="4"/>
    </row>
    <row r="950" ht="18.0" customHeight="1">
      <c r="A950" s="35"/>
      <c r="B950" s="37" t="s">
        <v>1357</v>
      </c>
      <c r="C950" s="38">
        <v>44771.0</v>
      </c>
      <c r="D950" s="37">
        <v>29.0</v>
      </c>
      <c r="E950" s="37">
        <v>334.0</v>
      </c>
      <c r="F950" s="37">
        <v>77.54</v>
      </c>
      <c r="G950" s="39">
        <v>9887.41</v>
      </c>
      <c r="H950" s="37" t="s">
        <v>45</v>
      </c>
      <c r="I950" s="52" t="s">
        <v>42</v>
      </c>
      <c r="J950" s="37" t="str">
        <f t="shared" si="4"/>
        <v>No</v>
      </c>
      <c r="K950" s="35"/>
      <c r="L950" s="35"/>
      <c r="M950" s="35"/>
      <c r="N950" s="4"/>
      <c r="O950" s="4"/>
      <c r="P950" s="50"/>
      <c r="Q950" s="50"/>
      <c r="R950" s="50"/>
      <c r="S950" s="51"/>
      <c r="T950" s="4"/>
      <c r="U950" s="4"/>
    </row>
    <row r="951" ht="18.0" customHeight="1">
      <c r="A951" s="35"/>
      <c r="B951" s="37" t="s">
        <v>1358</v>
      </c>
      <c r="C951" s="38">
        <v>44663.0</v>
      </c>
      <c r="D951" s="37">
        <v>46.0</v>
      </c>
      <c r="E951" s="37">
        <v>119.0</v>
      </c>
      <c r="F951" s="37">
        <v>109.16</v>
      </c>
      <c r="G951" s="39">
        <v>8617.72</v>
      </c>
      <c r="H951" s="37" t="s">
        <v>49</v>
      </c>
      <c r="I951" s="52" t="s">
        <v>42</v>
      </c>
      <c r="J951" s="37" t="str">
        <f t="shared" si="4"/>
        <v>No</v>
      </c>
      <c r="K951" s="35"/>
      <c r="L951" s="35"/>
      <c r="M951" s="35"/>
      <c r="N951" s="4"/>
      <c r="O951" s="4"/>
      <c r="P951" s="50"/>
      <c r="Q951" s="50"/>
      <c r="R951" s="50"/>
      <c r="S951" s="51"/>
      <c r="T951" s="4"/>
      <c r="U951" s="4"/>
    </row>
    <row r="952" ht="18.0" customHeight="1">
      <c r="A952" s="35"/>
      <c r="B952" s="37" t="s">
        <v>1359</v>
      </c>
      <c r="C952" s="38">
        <v>44631.0</v>
      </c>
      <c r="D952" s="37">
        <v>51.0</v>
      </c>
      <c r="E952" s="37">
        <v>814.0</v>
      </c>
      <c r="F952" s="37">
        <v>76.8</v>
      </c>
      <c r="G952" s="39">
        <v>9203.26</v>
      </c>
      <c r="H952" s="37" t="s">
        <v>53</v>
      </c>
      <c r="I952" s="52" t="s">
        <v>38</v>
      </c>
      <c r="J952" s="37" t="str">
        <f t="shared" si="4"/>
        <v>No</v>
      </c>
      <c r="K952" s="35"/>
      <c r="L952" s="35"/>
      <c r="M952" s="35"/>
      <c r="N952" s="4"/>
      <c r="O952" s="4"/>
      <c r="P952" s="50"/>
      <c r="Q952" s="50"/>
      <c r="R952" s="50"/>
      <c r="S952" s="51"/>
      <c r="T952" s="4"/>
      <c r="U952" s="4"/>
    </row>
    <row r="953" ht="18.0" customHeight="1">
      <c r="A953" s="35"/>
      <c r="B953" s="37" t="s">
        <v>1360</v>
      </c>
      <c r="C953" s="38">
        <v>44900.0</v>
      </c>
      <c r="D953" s="37">
        <v>56.0</v>
      </c>
      <c r="E953" s="37">
        <v>234.0</v>
      </c>
      <c r="F953" s="37">
        <v>136.93</v>
      </c>
      <c r="G953" s="39">
        <v>6278.14</v>
      </c>
      <c r="H953" s="37" t="s">
        <v>56</v>
      </c>
      <c r="I953" s="52" t="s">
        <v>38</v>
      </c>
      <c r="J953" s="37" t="str">
        <f t="shared" si="4"/>
        <v>No</v>
      </c>
      <c r="K953" s="35"/>
      <c r="L953" s="35"/>
      <c r="M953" s="35"/>
      <c r="N953" s="4"/>
      <c r="O953" s="4"/>
      <c r="P953" s="50"/>
      <c r="Q953" s="50"/>
      <c r="R953" s="50"/>
      <c r="S953" s="51"/>
      <c r="T953" s="4"/>
      <c r="U953" s="4"/>
    </row>
    <row r="954" ht="18.0" customHeight="1">
      <c r="A954" s="35"/>
      <c r="B954" s="37" t="s">
        <v>1361</v>
      </c>
      <c r="C954" s="38">
        <v>44806.0</v>
      </c>
      <c r="D954" s="37">
        <v>21.0</v>
      </c>
      <c r="E954" s="37">
        <v>655.0</v>
      </c>
      <c r="F954" s="37">
        <v>44.53</v>
      </c>
      <c r="G954" s="39">
        <v>7886.18</v>
      </c>
      <c r="H954" s="37" t="s">
        <v>59</v>
      </c>
      <c r="I954" s="52" t="s">
        <v>50</v>
      </c>
      <c r="J954" s="37" t="str">
        <f t="shared" si="4"/>
        <v>No</v>
      </c>
      <c r="K954" s="35"/>
      <c r="L954" s="35"/>
      <c r="M954" s="35"/>
      <c r="N954" s="4"/>
      <c r="O954" s="4"/>
      <c r="P954" s="50"/>
      <c r="Q954" s="50"/>
      <c r="R954" s="50"/>
      <c r="S954" s="51"/>
      <c r="T954" s="4"/>
      <c r="U954" s="4"/>
    </row>
    <row r="955" ht="18.0" customHeight="1">
      <c r="A955" s="35"/>
      <c r="B955" s="37" t="s">
        <v>1362</v>
      </c>
      <c r="C955" s="38">
        <v>44774.0</v>
      </c>
      <c r="D955" s="37">
        <v>20.0</v>
      </c>
      <c r="E955" s="37">
        <v>910.0</v>
      </c>
      <c r="F955" s="37">
        <v>220.39</v>
      </c>
      <c r="G955" s="39">
        <v>2418.86</v>
      </c>
      <c r="H955" s="37" t="s">
        <v>61</v>
      </c>
      <c r="I955" s="52" t="s">
        <v>38</v>
      </c>
      <c r="J955" s="37" t="str">
        <f t="shared" si="4"/>
        <v>No</v>
      </c>
      <c r="K955" s="35"/>
      <c r="L955" s="35"/>
      <c r="M955" s="35"/>
      <c r="N955" s="4"/>
      <c r="O955" s="4"/>
      <c r="P955" s="50"/>
      <c r="Q955" s="50"/>
      <c r="R955" s="50"/>
      <c r="S955" s="51"/>
      <c r="T955" s="4"/>
      <c r="U955" s="4"/>
    </row>
    <row r="956" ht="18.0" customHeight="1">
      <c r="A956" s="35"/>
      <c r="B956" s="37" t="s">
        <v>1363</v>
      </c>
      <c r="C956" s="38">
        <v>44605.0</v>
      </c>
      <c r="D956" s="37">
        <v>8.0</v>
      </c>
      <c r="E956" s="37">
        <v>806.0</v>
      </c>
      <c r="F956" s="37">
        <v>191.58</v>
      </c>
      <c r="G956" s="39">
        <v>9397.37</v>
      </c>
      <c r="H956" s="37" t="s">
        <v>63</v>
      </c>
      <c r="I956" s="52" t="s">
        <v>50</v>
      </c>
      <c r="J956" s="37" t="str">
        <f t="shared" si="4"/>
        <v>No</v>
      </c>
      <c r="K956" s="35"/>
      <c r="L956" s="35"/>
      <c r="M956" s="35"/>
      <c r="N956" s="4"/>
      <c r="O956" s="4"/>
      <c r="P956" s="50"/>
      <c r="Q956" s="50"/>
      <c r="R956" s="50"/>
      <c r="S956" s="51"/>
      <c r="T956" s="4"/>
      <c r="U956" s="4"/>
    </row>
    <row r="957" ht="18.0" customHeight="1">
      <c r="A957" s="35"/>
      <c r="B957" s="37" t="s">
        <v>1364</v>
      </c>
      <c r="C957" s="38">
        <v>44738.0</v>
      </c>
      <c r="D957" s="37">
        <v>98.0</v>
      </c>
      <c r="E957" s="37">
        <v>810.0</v>
      </c>
      <c r="F957" s="37">
        <v>148.41</v>
      </c>
      <c r="G957" s="39">
        <v>5806.61</v>
      </c>
      <c r="H957" s="37" t="s">
        <v>66</v>
      </c>
      <c r="I957" s="52" t="s">
        <v>42</v>
      </c>
      <c r="J957" s="37" t="str">
        <f t="shared" si="4"/>
        <v>No</v>
      </c>
      <c r="K957" s="35"/>
      <c r="L957" s="35"/>
      <c r="M957" s="35"/>
      <c r="N957" s="4"/>
      <c r="O957" s="4"/>
      <c r="P957" s="50"/>
      <c r="Q957" s="50"/>
      <c r="R957" s="50"/>
      <c r="S957" s="51"/>
      <c r="T957" s="4"/>
      <c r="U957" s="4"/>
    </row>
    <row r="958" ht="18.0" customHeight="1">
      <c r="A958" s="35"/>
      <c r="B958" s="37" t="s">
        <v>1365</v>
      </c>
      <c r="C958" s="38">
        <v>44909.0</v>
      </c>
      <c r="D958" s="37">
        <v>97.0</v>
      </c>
      <c r="E958" s="37">
        <v>166.0</v>
      </c>
      <c r="F958" s="37">
        <v>242.86</v>
      </c>
      <c r="G958" s="39">
        <v>2664.91</v>
      </c>
      <c r="H958" s="37" t="s">
        <v>68</v>
      </c>
      <c r="I958" s="52" t="s">
        <v>50</v>
      </c>
      <c r="J958" s="37" t="str">
        <f t="shared" si="4"/>
        <v>No</v>
      </c>
      <c r="K958" s="35"/>
      <c r="L958" s="35"/>
      <c r="M958" s="35"/>
      <c r="N958" s="4"/>
      <c r="O958" s="4"/>
      <c r="P958" s="50"/>
      <c r="Q958" s="50"/>
      <c r="R958" s="50"/>
      <c r="S958" s="51"/>
      <c r="T958" s="4"/>
      <c r="U958" s="4"/>
    </row>
    <row r="959" ht="18.0" customHeight="1">
      <c r="A959" s="35"/>
      <c r="B959" s="37" t="s">
        <v>1366</v>
      </c>
      <c r="C959" s="38">
        <v>44815.0</v>
      </c>
      <c r="D959" s="37">
        <v>39.0</v>
      </c>
      <c r="E959" s="37">
        <v>342.0</v>
      </c>
      <c r="F959" s="37">
        <v>142.06</v>
      </c>
      <c r="G959" s="39">
        <v>7947.33</v>
      </c>
      <c r="H959" s="37" t="s">
        <v>71</v>
      </c>
      <c r="I959" s="52" t="s">
        <v>50</v>
      </c>
      <c r="J959" s="37" t="str">
        <f t="shared" si="4"/>
        <v>No</v>
      </c>
      <c r="K959" s="35"/>
      <c r="L959" s="35"/>
      <c r="M959" s="35"/>
      <c r="N959" s="4"/>
      <c r="O959" s="4"/>
      <c r="P959" s="50"/>
      <c r="Q959" s="50"/>
      <c r="R959" s="50"/>
      <c r="S959" s="51"/>
      <c r="T959" s="4"/>
      <c r="U959" s="4"/>
    </row>
    <row r="960" ht="18.0" customHeight="1">
      <c r="A960" s="35"/>
      <c r="B960" s="37" t="s">
        <v>1367</v>
      </c>
      <c r="C960" s="38">
        <v>44613.0</v>
      </c>
      <c r="D960" s="37">
        <v>63.0</v>
      </c>
      <c r="E960" s="37">
        <v>46.0</v>
      </c>
      <c r="F960" s="37">
        <v>175.04</v>
      </c>
      <c r="G960" s="39">
        <v>6393.01</v>
      </c>
      <c r="H960" s="37" t="s">
        <v>1368</v>
      </c>
      <c r="I960" s="52" t="s">
        <v>50</v>
      </c>
      <c r="J960" s="37" t="str">
        <f t="shared" si="4"/>
        <v>No</v>
      </c>
      <c r="K960" s="35"/>
      <c r="L960" s="35"/>
      <c r="M960" s="35"/>
      <c r="N960" s="4"/>
      <c r="O960" s="4"/>
      <c r="P960" s="50"/>
      <c r="Q960" s="50"/>
      <c r="R960" s="50"/>
      <c r="S960" s="51"/>
      <c r="T960" s="4"/>
      <c r="U960" s="4"/>
    </row>
    <row r="961" ht="18.0" customHeight="1">
      <c r="A961" s="35"/>
      <c r="B961" s="37" t="s">
        <v>1369</v>
      </c>
      <c r="C961" s="38">
        <v>44907.0</v>
      </c>
      <c r="D961" s="37">
        <v>85.0</v>
      </c>
      <c r="E961" s="37">
        <v>483.0</v>
      </c>
      <c r="F961" s="37">
        <v>159.8</v>
      </c>
      <c r="G961" s="39">
        <v>6434.07</v>
      </c>
      <c r="H961" s="37" t="s">
        <v>1370</v>
      </c>
      <c r="I961" s="52" t="s">
        <v>42</v>
      </c>
      <c r="J961" s="37" t="str">
        <f t="shared" si="4"/>
        <v>No</v>
      </c>
      <c r="K961" s="35"/>
      <c r="L961" s="35"/>
      <c r="M961" s="35"/>
      <c r="N961" s="4"/>
      <c r="O961" s="4"/>
      <c r="P961" s="50"/>
      <c r="Q961" s="50"/>
      <c r="R961" s="50"/>
      <c r="S961" s="51"/>
      <c r="T961" s="4"/>
      <c r="U961" s="4"/>
    </row>
    <row r="962" ht="18.0" customHeight="1">
      <c r="A962" s="35"/>
      <c r="B962" s="37" t="s">
        <v>17</v>
      </c>
      <c r="C962" s="38">
        <v>44733.0</v>
      </c>
      <c r="D962" s="37">
        <v>20.0</v>
      </c>
      <c r="E962" s="37">
        <v>693.0</v>
      </c>
      <c r="F962" s="37">
        <v>241.9</v>
      </c>
      <c r="G962" s="39">
        <v>8253.95</v>
      </c>
      <c r="H962" s="37" t="s">
        <v>1371</v>
      </c>
      <c r="I962" s="52" t="s">
        <v>50</v>
      </c>
      <c r="J962" s="37" t="str">
        <f t="shared" si="4"/>
        <v>No</v>
      </c>
      <c r="K962" s="35"/>
      <c r="L962" s="35"/>
      <c r="M962" s="35"/>
      <c r="N962" s="4"/>
      <c r="O962" s="4"/>
      <c r="P962" s="50"/>
      <c r="Q962" s="50"/>
      <c r="R962" s="50"/>
      <c r="S962" s="51"/>
      <c r="T962" s="4"/>
      <c r="U962" s="4"/>
    </row>
    <row r="963" ht="18.0" customHeight="1">
      <c r="A963" s="35"/>
      <c r="B963" s="37" t="s">
        <v>1372</v>
      </c>
      <c r="C963" s="38">
        <v>44742.0</v>
      </c>
      <c r="D963" s="37">
        <v>65.0</v>
      </c>
      <c r="E963" s="37">
        <v>412.0</v>
      </c>
      <c r="F963" s="37">
        <v>146.78</v>
      </c>
      <c r="G963" s="39">
        <v>8223.28</v>
      </c>
      <c r="H963" s="37" t="s">
        <v>87</v>
      </c>
      <c r="I963" s="52" t="s">
        <v>38</v>
      </c>
      <c r="J963" s="37" t="str">
        <f t="shared" si="4"/>
        <v>No</v>
      </c>
      <c r="K963" s="35"/>
      <c r="L963" s="35"/>
      <c r="M963" s="35"/>
      <c r="N963" s="4"/>
      <c r="O963" s="4"/>
      <c r="P963" s="50"/>
      <c r="Q963" s="50"/>
      <c r="R963" s="50"/>
      <c r="S963" s="51"/>
      <c r="T963" s="4"/>
      <c r="U963" s="4"/>
    </row>
    <row r="964" ht="18.0" customHeight="1">
      <c r="A964" s="35"/>
      <c r="B964" s="37" t="s">
        <v>1373</v>
      </c>
      <c r="C964" s="38">
        <v>44814.0</v>
      </c>
      <c r="D964" s="37">
        <v>37.0</v>
      </c>
      <c r="E964" s="37">
        <v>340.0</v>
      </c>
      <c r="F964" s="37">
        <v>166.23</v>
      </c>
      <c r="G964" s="39">
        <v>7606.64</v>
      </c>
      <c r="H964" s="37" t="s">
        <v>37</v>
      </c>
      <c r="I964" s="52" t="s">
        <v>50</v>
      </c>
      <c r="J964" s="37" t="str">
        <f t="shared" si="4"/>
        <v>No</v>
      </c>
      <c r="K964" s="35"/>
      <c r="L964" s="35"/>
      <c r="M964" s="35"/>
      <c r="N964" s="4"/>
      <c r="O964" s="4"/>
      <c r="P964" s="50"/>
      <c r="Q964" s="50"/>
      <c r="R964" s="50"/>
      <c r="S964" s="51"/>
      <c r="T964" s="4"/>
      <c r="U964" s="4"/>
    </row>
    <row r="965" ht="18.0" customHeight="1">
      <c r="A965" s="35"/>
      <c r="B965" s="37" t="s">
        <v>1374</v>
      </c>
      <c r="C965" s="38">
        <v>44693.0</v>
      </c>
      <c r="D965" s="37">
        <v>93.0</v>
      </c>
      <c r="E965" s="37">
        <v>714.0</v>
      </c>
      <c r="F965" s="37">
        <v>6.32</v>
      </c>
      <c r="G965" s="39">
        <v>695.07</v>
      </c>
      <c r="H965" s="37" t="s">
        <v>41</v>
      </c>
      <c r="I965" s="52" t="s">
        <v>42</v>
      </c>
      <c r="J965" s="37" t="str">
        <f t="shared" si="4"/>
        <v>No</v>
      </c>
      <c r="K965" s="35"/>
      <c r="L965" s="35"/>
      <c r="M965" s="35"/>
      <c r="N965" s="4"/>
      <c r="O965" s="4"/>
      <c r="P965" s="50"/>
      <c r="Q965" s="50"/>
      <c r="R965" s="50"/>
      <c r="S965" s="51"/>
      <c r="T965" s="4"/>
      <c r="U965" s="4"/>
    </row>
    <row r="966" ht="18.0" customHeight="1">
      <c r="A966" s="35"/>
      <c r="B966" s="37" t="s">
        <v>1375</v>
      </c>
      <c r="C966" s="38">
        <v>44572.0</v>
      </c>
      <c r="D966" s="37">
        <v>34.0</v>
      </c>
      <c r="E966" s="37">
        <v>887.0</v>
      </c>
      <c r="F966" s="37">
        <v>75.16</v>
      </c>
      <c r="G966" s="39">
        <v>7527.54</v>
      </c>
      <c r="H966" s="37" t="s">
        <v>45</v>
      </c>
      <c r="I966" s="52" t="s">
        <v>42</v>
      </c>
      <c r="J966" s="37" t="str">
        <f t="shared" si="4"/>
        <v>No</v>
      </c>
      <c r="K966" s="35"/>
      <c r="L966" s="35"/>
      <c r="M966" s="35"/>
      <c r="N966" s="4"/>
      <c r="O966" s="4"/>
      <c r="P966" s="50"/>
      <c r="Q966" s="50"/>
      <c r="R966" s="50"/>
      <c r="S966" s="51"/>
      <c r="T966" s="4"/>
      <c r="U966" s="4"/>
    </row>
    <row r="967" ht="18.0" customHeight="1">
      <c r="A967" s="35"/>
      <c r="B967" s="37" t="s">
        <v>1376</v>
      </c>
      <c r="C967" s="38">
        <v>44631.0</v>
      </c>
      <c r="D967" s="37">
        <v>15.0</v>
      </c>
      <c r="E967" s="37">
        <v>735.0</v>
      </c>
      <c r="F967" s="37">
        <v>229.76</v>
      </c>
      <c r="G967" s="39">
        <v>7924.85</v>
      </c>
      <c r="H967" s="37" t="s">
        <v>49</v>
      </c>
      <c r="I967" s="52" t="s">
        <v>50</v>
      </c>
      <c r="J967" s="37" t="str">
        <f t="shared" si="4"/>
        <v>No</v>
      </c>
      <c r="K967" s="35"/>
      <c r="L967" s="35"/>
      <c r="M967" s="35"/>
      <c r="N967" s="4"/>
      <c r="O967" s="4"/>
      <c r="P967" s="50"/>
      <c r="Q967" s="50"/>
      <c r="R967" s="50"/>
      <c r="S967" s="51"/>
      <c r="T967" s="4"/>
      <c r="U967" s="4"/>
    </row>
    <row r="968" ht="18.0" customHeight="1">
      <c r="A968" s="35"/>
      <c r="B968" s="37" t="s">
        <v>48</v>
      </c>
      <c r="C968" s="38">
        <v>44712.0</v>
      </c>
      <c r="D968" s="37">
        <v>16.0</v>
      </c>
      <c r="E968" s="37">
        <v>668.0</v>
      </c>
      <c r="F968" s="37">
        <v>113.9</v>
      </c>
      <c r="G968" s="39">
        <v>3020.17</v>
      </c>
      <c r="H968" s="37" t="s">
        <v>53</v>
      </c>
      <c r="I968" s="52" t="s">
        <v>50</v>
      </c>
      <c r="J968" s="37" t="str">
        <f t="shared" si="4"/>
        <v>No</v>
      </c>
      <c r="K968" s="35"/>
      <c r="L968" s="35"/>
      <c r="M968" s="35"/>
      <c r="N968" s="4"/>
      <c r="O968" s="4"/>
      <c r="P968" s="50"/>
      <c r="Q968" s="50"/>
      <c r="R968" s="50"/>
      <c r="S968" s="51"/>
      <c r="T968" s="4"/>
      <c r="U968" s="4"/>
    </row>
    <row r="969" ht="18.0" customHeight="1">
      <c r="A969" s="35"/>
      <c r="B969" s="37" t="s">
        <v>1377</v>
      </c>
      <c r="C969" s="38">
        <v>44609.0</v>
      </c>
      <c r="D969" s="37">
        <v>97.0</v>
      </c>
      <c r="E969" s="37">
        <v>891.0</v>
      </c>
      <c r="F969" s="37">
        <v>121.8</v>
      </c>
      <c r="G969" s="39">
        <v>9880.79</v>
      </c>
      <c r="H969" s="37" t="s">
        <v>56</v>
      </c>
      <c r="I969" s="52" t="s">
        <v>42</v>
      </c>
      <c r="J969" s="37" t="str">
        <f t="shared" si="4"/>
        <v>No</v>
      </c>
      <c r="K969" s="35"/>
      <c r="L969" s="35"/>
      <c r="M969" s="35"/>
      <c r="N969" s="4"/>
      <c r="O969" s="4"/>
      <c r="P969" s="50"/>
      <c r="Q969" s="50"/>
      <c r="R969" s="50"/>
      <c r="S969" s="51"/>
      <c r="T969" s="4"/>
      <c r="U969" s="4"/>
    </row>
    <row r="970" ht="18.0" customHeight="1">
      <c r="A970" s="35"/>
      <c r="B970" s="37" t="s">
        <v>1378</v>
      </c>
      <c r="C970" s="38">
        <v>44646.0</v>
      </c>
      <c r="D970" s="37">
        <v>81.0</v>
      </c>
      <c r="E970" s="37">
        <v>267.0</v>
      </c>
      <c r="F970" s="37">
        <v>133.72</v>
      </c>
      <c r="G970" s="39">
        <v>9239.24</v>
      </c>
      <c r="H970" s="37" t="s">
        <v>59</v>
      </c>
      <c r="I970" s="52" t="s">
        <v>42</v>
      </c>
      <c r="J970" s="37" t="str">
        <f t="shared" si="4"/>
        <v>No</v>
      </c>
      <c r="K970" s="35"/>
      <c r="L970" s="35"/>
      <c r="M970" s="35"/>
      <c r="N970" s="4"/>
      <c r="O970" s="4"/>
      <c r="P970" s="50"/>
      <c r="Q970" s="50"/>
      <c r="R970" s="50"/>
      <c r="S970" s="51"/>
      <c r="T970" s="4"/>
      <c r="U970" s="4"/>
    </row>
    <row r="971" ht="18.0" customHeight="1">
      <c r="A971" s="35"/>
      <c r="B971" s="37" t="s">
        <v>1379</v>
      </c>
      <c r="C971" s="38">
        <v>44761.0</v>
      </c>
      <c r="D971" s="37">
        <v>91.0</v>
      </c>
      <c r="E971" s="37">
        <v>484.0</v>
      </c>
      <c r="F971" s="37">
        <v>99.83</v>
      </c>
      <c r="G971" s="39">
        <v>6818.75</v>
      </c>
      <c r="H971" s="37" t="s">
        <v>61</v>
      </c>
      <c r="I971" s="52" t="s">
        <v>42</v>
      </c>
      <c r="J971" s="37" t="str">
        <f t="shared" si="4"/>
        <v>No</v>
      </c>
      <c r="K971" s="35"/>
      <c r="L971" s="35"/>
      <c r="M971" s="35"/>
      <c r="N971" s="4"/>
      <c r="O971" s="4"/>
      <c r="P971" s="50"/>
      <c r="Q971" s="50"/>
      <c r="R971" s="50"/>
      <c r="S971" s="51"/>
      <c r="T971" s="4"/>
      <c r="U971" s="4"/>
    </row>
    <row r="972" ht="18.0" customHeight="1">
      <c r="A972" s="35"/>
      <c r="B972" s="37" t="s">
        <v>1380</v>
      </c>
      <c r="C972" s="38">
        <v>44670.0</v>
      </c>
      <c r="D972" s="37">
        <v>82.0</v>
      </c>
      <c r="E972" s="37">
        <v>913.0</v>
      </c>
      <c r="F972" s="37">
        <v>181.17</v>
      </c>
      <c r="G972" s="39">
        <v>4949.84</v>
      </c>
      <c r="H972" s="37" t="s">
        <v>63</v>
      </c>
      <c r="I972" s="52" t="s">
        <v>42</v>
      </c>
      <c r="J972" s="37" t="str">
        <f t="shared" si="4"/>
        <v>No</v>
      </c>
      <c r="K972" s="35"/>
      <c r="L972" s="35"/>
      <c r="M972" s="35"/>
      <c r="N972" s="4"/>
      <c r="O972" s="4"/>
      <c r="P972" s="50"/>
      <c r="Q972" s="50"/>
      <c r="R972" s="50"/>
      <c r="S972" s="51"/>
      <c r="T972" s="4"/>
      <c r="U972" s="4"/>
    </row>
    <row r="973" ht="18.0" customHeight="1">
      <c r="A973" s="35"/>
      <c r="B973" s="37" t="s">
        <v>1381</v>
      </c>
      <c r="C973" s="38">
        <v>44635.0</v>
      </c>
      <c r="D973" s="37">
        <v>45.0</v>
      </c>
      <c r="E973" s="37">
        <v>639.0</v>
      </c>
      <c r="F973" s="37">
        <v>48.91</v>
      </c>
      <c r="G973" s="39">
        <v>8406.5</v>
      </c>
      <c r="H973" s="37" t="s">
        <v>66</v>
      </c>
      <c r="I973" s="52" t="s">
        <v>38</v>
      </c>
      <c r="J973" s="37" t="str">
        <f t="shared" si="4"/>
        <v>No</v>
      </c>
      <c r="K973" s="35"/>
      <c r="L973" s="35"/>
      <c r="M973" s="35"/>
      <c r="N973" s="4"/>
      <c r="O973" s="4"/>
      <c r="P973" s="50"/>
      <c r="Q973" s="50"/>
      <c r="R973" s="50"/>
      <c r="S973" s="51"/>
      <c r="T973" s="4"/>
      <c r="U973" s="4"/>
    </row>
    <row r="974" ht="18.0" customHeight="1">
      <c r="A974" s="35"/>
      <c r="B974" s="37" t="s">
        <v>1382</v>
      </c>
      <c r="C974" s="38">
        <v>44901.0</v>
      </c>
      <c r="D974" s="37">
        <v>65.0</v>
      </c>
      <c r="E974" s="37">
        <v>810.0</v>
      </c>
      <c r="F974" s="37">
        <v>179.1</v>
      </c>
      <c r="G974" s="39">
        <v>5963.86</v>
      </c>
      <c r="H974" s="37" t="s">
        <v>68</v>
      </c>
      <c r="I974" s="52" t="s">
        <v>50</v>
      </c>
      <c r="J974" s="37" t="str">
        <f t="shared" si="4"/>
        <v>No</v>
      </c>
      <c r="K974" s="35"/>
      <c r="L974" s="35"/>
      <c r="M974" s="35"/>
      <c r="N974" s="4"/>
      <c r="O974" s="4"/>
      <c r="P974" s="50"/>
      <c r="Q974" s="50"/>
      <c r="R974" s="50"/>
      <c r="S974" s="51"/>
      <c r="T974" s="4"/>
      <c r="U974" s="4"/>
    </row>
    <row r="975" ht="18.0" customHeight="1">
      <c r="A975" s="35"/>
      <c r="B975" s="37" t="s">
        <v>1383</v>
      </c>
      <c r="C975" s="38">
        <v>44583.0</v>
      </c>
      <c r="D975" s="37">
        <v>44.0</v>
      </c>
      <c r="E975" s="37">
        <v>981.0</v>
      </c>
      <c r="F975" s="37">
        <v>212.54</v>
      </c>
      <c r="G975" s="39">
        <v>1427.14</v>
      </c>
      <c r="H975" s="37" t="s">
        <v>71</v>
      </c>
      <c r="I975" s="52" t="s">
        <v>38</v>
      </c>
      <c r="J975" s="37" t="str">
        <f t="shared" si="4"/>
        <v>No</v>
      </c>
      <c r="K975" s="35"/>
      <c r="L975" s="35"/>
      <c r="M975" s="35"/>
      <c r="N975" s="4"/>
      <c r="O975" s="4"/>
      <c r="P975" s="50"/>
      <c r="Q975" s="50"/>
      <c r="R975" s="50"/>
      <c r="S975" s="51"/>
      <c r="T975" s="4"/>
      <c r="U975" s="4"/>
    </row>
    <row r="976" ht="18.0" customHeight="1">
      <c r="A976" s="35"/>
      <c r="B976" s="37" t="s">
        <v>1384</v>
      </c>
      <c r="C976" s="38">
        <v>44864.0</v>
      </c>
      <c r="D976" s="37">
        <v>78.0</v>
      </c>
      <c r="E976" s="37">
        <v>171.0</v>
      </c>
      <c r="F976" s="37">
        <v>54.39</v>
      </c>
      <c r="G976" s="39">
        <v>9432.42</v>
      </c>
      <c r="H976" s="37" t="s">
        <v>41</v>
      </c>
      <c r="I976" s="52" t="s">
        <v>38</v>
      </c>
      <c r="J976" s="37" t="str">
        <f t="shared" si="4"/>
        <v>No</v>
      </c>
      <c r="K976" s="35"/>
      <c r="L976" s="35"/>
      <c r="M976" s="35"/>
      <c r="N976" s="4"/>
      <c r="O976" s="4"/>
      <c r="P976" s="50"/>
      <c r="Q976" s="50"/>
      <c r="R976" s="50"/>
      <c r="S976" s="51"/>
      <c r="T976" s="4"/>
      <c r="U976" s="4"/>
    </row>
    <row r="977" ht="18.0" customHeight="1">
      <c r="A977" s="35"/>
      <c r="B977" s="37" t="s">
        <v>1385</v>
      </c>
      <c r="C977" s="38">
        <v>44792.0</v>
      </c>
      <c r="D977" s="37">
        <v>47.0</v>
      </c>
      <c r="E977" s="37">
        <v>345.0</v>
      </c>
      <c r="F977" s="37">
        <v>119.49</v>
      </c>
      <c r="G977" s="39">
        <v>6461.94</v>
      </c>
      <c r="H977" s="37" t="s">
        <v>45</v>
      </c>
      <c r="I977" s="52" t="s">
        <v>50</v>
      </c>
      <c r="J977" s="37" t="str">
        <f t="shared" si="4"/>
        <v>No</v>
      </c>
      <c r="K977" s="35"/>
      <c r="L977" s="35"/>
      <c r="M977" s="35"/>
      <c r="N977" s="4"/>
      <c r="O977" s="4"/>
      <c r="P977" s="50"/>
      <c r="Q977" s="50"/>
      <c r="R977" s="50"/>
      <c r="S977" s="51"/>
      <c r="T977" s="4"/>
      <c r="U977" s="4"/>
    </row>
    <row r="978" ht="18.0" customHeight="1">
      <c r="A978" s="35"/>
      <c r="B978" s="37" t="s">
        <v>1386</v>
      </c>
      <c r="C978" s="38">
        <v>44710.0</v>
      </c>
      <c r="D978" s="37">
        <v>63.0</v>
      </c>
      <c r="E978" s="37">
        <v>651.0</v>
      </c>
      <c r="F978" s="37">
        <v>12.13</v>
      </c>
      <c r="G978" s="39">
        <v>3732.54</v>
      </c>
      <c r="H978" s="37" t="s">
        <v>49</v>
      </c>
      <c r="I978" s="52" t="s">
        <v>38</v>
      </c>
      <c r="J978" s="37" t="str">
        <f t="shared" si="4"/>
        <v>No</v>
      </c>
      <c r="K978" s="35"/>
      <c r="L978" s="35"/>
      <c r="M978" s="35"/>
      <c r="N978" s="4"/>
      <c r="O978" s="4"/>
      <c r="P978" s="50"/>
      <c r="Q978" s="50"/>
      <c r="R978" s="50"/>
      <c r="S978" s="51"/>
      <c r="T978" s="4"/>
      <c r="U978" s="4"/>
    </row>
    <row r="979" ht="18.0" customHeight="1">
      <c r="A979" s="35"/>
      <c r="B979" s="37" t="s">
        <v>1387</v>
      </c>
      <c r="C979" s="38">
        <v>44571.0</v>
      </c>
      <c r="D979" s="37">
        <v>74.0</v>
      </c>
      <c r="E979" s="37">
        <v>640.0</v>
      </c>
      <c r="F979" s="37">
        <v>177.93</v>
      </c>
      <c r="G979" s="39">
        <v>6874.57</v>
      </c>
      <c r="H979" s="37" t="s">
        <v>53</v>
      </c>
      <c r="I979" s="52" t="s">
        <v>38</v>
      </c>
      <c r="J979" s="37" t="str">
        <f t="shared" si="4"/>
        <v>No</v>
      </c>
      <c r="K979" s="35"/>
      <c r="L979" s="35"/>
      <c r="M979" s="35"/>
      <c r="N979" s="4"/>
      <c r="O979" s="4"/>
      <c r="P979" s="50"/>
      <c r="Q979" s="50"/>
      <c r="R979" s="50"/>
      <c r="S979" s="51"/>
      <c r="T979" s="4"/>
      <c r="U979" s="4"/>
    </row>
    <row r="980" ht="18.0" customHeight="1">
      <c r="A980" s="35"/>
      <c r="B980" s="37" t="s">
        <v>1388</v>
      </c>
      <c r="C980" s="38">
        <v>44567.0</v>
      </c>
      <c r="D980" s="37">
        <v>76.0</v>
      </c>
      <c r="E980" s="37">
        <v>585.0</v>
      </c>
      <c r="F980" s="37">
        <v>188.87</v>
      </c>
      <c r="G980" s="39">
        <v>2574.09</v>
      </c>
      <c r="H980" s="37" t="s">
        <v>56</v>
      </c>
      <c r="I980" s="52" t="s">
        <v>50</v>
      </c>
      <c r="J980" s="37" t="str">
        <f t="shared" si="4"/>
        <v>No</v>
      </c>
      <c r="K980" s="35"/>
      <c r="L980" s="35"/>
      <c r="M980" s="35"/>
      <c r="N980" s="4"/>
      <c r="O980" s="4"/>
      <c r="P980" s="50"/>
      <c r="Q980" s="50"/>
      <c r="R980" s="50"/>
      <c r="S980" s="51"/>
      <c r="T980" s="4"/>
      <c r="U980" s="4"/>
    </row>
    <row r="981" ht="18.0" customHeight="1">
      <c r="A981" s="35"/>
      <c r="B981" s="37" t="s">
        <v>1389</v>
      </c>
      <c r="C981" s="38">
        <v>44570.0</v>
      </c>
      <c r="D981" s="37">
        <v>74.0</v>
      </c>
      <c r="E981" s="37">
        <v>418.0</v>
      </c>
      <c r="F981" s="37">
        <v>240.72</v>
      </c>
      <c r="G981" s="39">
        <v>6682.15</v>
      </c>
      <c r="H981" s="37" t="s">
        <v>59</v>
      </c>
      <c r="I981" s="52" t="s">
        <v>42</v>
      </c>
      <c r="J981" s="37" t="str">
        <f t="shared" si="4"/>
        <v>No</v>
      </c>
      <c r="K981" s="35"/>
      <c r="L981" s="35"/>
      <c r="M981" s="35"/>
      <c r="N981" s="4"/>
      <c r="O981" s="4"/>
      <c r="P981" s="50"/>
      <c r="Q981" s="50"/>
      <c r="R981" s="50"/>
      <c r="S981" s="51"/>
      <c r="T981" s="4"/>
      <c r="U981" s="4"/>
    </row>
    <row r="982" ht="18.0" customHeight="1">
      <c r="A982" s="35"/>
      <c r="B982" s="37" t="s">
        <v>1390</v>
      </c>
      <c r="C982" s="38">
        <v>44605.0</v>
      </c>
      <c r="D982" s="37">
        <v>40.0</v>
      </c>
      <c r="E982" s="37">
        <v>409.0</v>
      </c>
      <c r="F982" s="37">
        <v>83.51</v>
      </c>
      <c r="G982" s="39">
        <v>8821.57</v>
      </c>
      <c r="H982" s="37" t="s">
        <v>61</v>
      </c>
      <c r="I982" s="52" t="s">
        <v>42</v>
      </c>
      <c r="J982" s="37" t="str">
        <f t="shared" si="4"/>
        <v>No</v>
      </c>
      <c r="K982" s="35"/>
      <c r="L982" s="35"/>
      <c r="M982" s="35"/>
      <c r="N982" s="4"/>
      <c r="O982" s="4"/>
      <c r="P982" s="50"/>
      <c r="Q982" s="50"/>
      <c r="R982" s="50"/>
      <c r="S982" s="51"/>
      <c r="T982" s="4"/>
      <c r="U982" s="4"/>
    </row>
    <row r="983" ht="18.0" customHeight="1">
      <c r="A983" s="35"/>
      <c r="B983" s="37" t="s">
        <v>36</v>
      </c>
      <c r="C983" s="38">
        <v>44764.0</v>
      </c>
      <c r="D983" s="37">
        <v>8.0</v>
      </c>
      <c r="E983" s="37">
        <v>505.0</v>
      </c>
      <c r="F983" s="37">
        <v>149.63</v>
      </c>
      <c r="G983" s="39">
        <v>7898.87</v>
      </c>
      <c r="H983" s="37" t="s">
        <v>63</v>
      </c>
      <c r="I983" s="52" t="s">
        <v>50</v>
      </c>
      <c r="J983" s="37" t="str">
        <f t="shared" si="4"/>
        <v>No</v>
      </c>
      <c r="K983" s="35"/>
      <c r="L983" s="35"/>
      <c r="M983" s="35"/>
      <c r="N983" s="4"/>
      <c r="O983" s="4"/>
      <c r="P983" s="50"/>
      <c r="Q983" s="50"/>
      <c r="R983" s="50"/>
      <c r="S983" s="51"/>
      <c r="T983" s="4"/>
      <c r="U983" s="4"/>
    </row>
    <row r="984" ht="18.0" customHeight="1">
      <c r="A984" s="35"/>
      <c r="B984" s="37" t="s">
        <v>1391</v>
      </c>
      <c r="C984" s="38">
        <v>44878.0</v>
      </c>
      <c r="D984" s="37">
        <v>4.0</v>
      </c>
      <c r="E984" s="37">
        <v>796.0</v>
      </c>
      <c r="F984" s="37">
        <v>71.08</v>
      </c>
      <c r="G984" s="39">
        <v>1681.36</v>
      </c>
      <c r="H984" s="37" t="s">
        <v>66</v>
      </c>
      <c r="I984" s="52" t="s">
        <v>42</v>
      </c>
      <c r="J984" s="37" t="str">
        <f t="shared" si="4"/>
        <v>No</v>
      </c>
      <c r="K984" s="35"/>
      <c r="L984" s="35"/>
      <c r="M984" s="35"/>
      <c r="N984" s="4"/>
      <c r="O984" s="4"/>
      <c r="P984" s="50"/>
      <c r="Q984" s="50"/>
      <c r="R984" s="50"/>
      <c r="S984" s="51"/>
      <c r="T984" s="4"/>
      <c r="U984" s="4"/>
    </row>
    <row r="985" ht="18.0" customHeight="1">
      <c r="A985" s="35"/>
      <c r="B985" s="37" t="s">
        <v>1392</v>
      </c>
      <c r="C985" s="38">
        <v>44919.0</v>
      </c>
      <c r="D985" s="37">
        <v>26.0</v>
      </c>
      <c r="E985" s="37">
        <v>492.0</v>
      </c>
      <c r="F985" s="37">
        <v>6.68</v>
      </c>
      <c r="G985" s="39">
        <v>4449.86</v>
      </c>
      <c r="H985" s="37" t="s">
        <v>68</v>
      </c>
      <c r="I985" s="52" t="s">
        <v>50</v>
      </c>
      <c r="J985" s="37" t="str">
        <f t="shared" si="4"/>
        <v>No</v>
      </c>
      <c r="K985" s="35"/>
      <c r="L985" s="35"/>
      <c r="M985" s="35"/>
      <c r="N985" s="4"/>
      <c r="O985" s="4"/>
      <c r="P985" s="50"/>
      <c r="Q985" s="50"/>
      <c r="R985" s="50"/>
      <c r="S985" s="51"/>
      <c r="T985" s="4"/>
      <c r="U985" s="4"/>
    </row>
    <row r="986" ht="18.0" customHeight="1">
      <c r="A986" s="35"/>
      <c r="B986" s="37" t="s">
        <v>1393</v>
      </c>
      <c r="C986" s="38">
        <v>44692.0</v>
      </c>
      <c r="D986" s="37">
        <v>85.0</v>
      </c>
      <c r="E986" s="37">
        <v>896.0</v>
      </c>
      <c r="F986" s="37">
        <v>58.54</v>
      </c>
      <c r="G986" s="39">
        <v>6394.42</v>
      </c>
      <c r="H986" s="37" t="s">
        <v>71</v>
      </c>
      <c r="I986" s="52" t="s">
        <v>38</v>
      </c>
      <c r="J986" s="37" t="str">
        <f t="shared" si="4"/>
        <v>No</v>
      </c>
      <c r="K986" s="35"/>
      <c r="L986" s="35"/>
      <c r="M986" s="35"/>
      <c r="N986" s="4"/>
      <c r="O986" s="4"/>
      <c r="P986" s="50"/>
      <c r="Q986" s="50"/>
      <c r="R986" s="50"/>
      <c r="S986" s="51"/>
      <c r="T986" s="4"/>
      <c r="U986" s="4"/>
    </row>
    <row r="987" ht="18.0" customHeight="1">
      <c r="A987" s="35"/>
      <c r="B987" s="37" t="s">
        <v>1394</v>
      </c>
      <c r="C987" s="38">
        <v>44914.0</v>
      </c>
      <c r="D987" s="37">
        <v>85.0</v>
      </c>
      <c r="E987" s="37">
        <v>118.0</v>
      </c>
      <c r="F987" s="37">
        <v>63.73</v>
      </c>
      <c r="G987" s="39">
        <v>1247.1</v>
      </c>
      <c r="H987" s="37" t="s">
        <v>1395</v>
      </c>
      <c r="I987" s="52" t="s">
        <v>50</v>
      </c>
      <c r="J987" s="37" t="str">
        <f t="shared" si="4"/>
        <v>No</v>
      </c>
      <c r="K987" s="35"/>
      <c r="L987" s="35"/>
      <c r="M987" s="35"/>
      <c r="N987" s="4"/>
      <c r="O987" s="4"/>
      <c r="P987" s="50"/>
      <c r="Q987" s="50"/>
      <c r="R987" s="50"/>
      <c r="S987" s="51"/>
      <c r="T987" s="4"/>
      <c r="U987" s="4"/>
    </row>
    <row r="988" ht="18.0" customHeight="1">
      <c r="A988" s="35"/>
      <c r="B988" s="37" t="s">
        <v>1396</v>
      </c>
      <c r="C988" s="38">
        <v>44585.0</v>
      </c>
      <c r="D988" s="37">
        <v>25.0</v>
      </c>
      <c r="E988" s="37">
        <v>130.0</v>
      </c>
      <c r="F988" s="37">
        <v>159.67</v>
      </c>
      <c r="G988" s="39">
        <v>7658.2</v>
      </c>
      <c r="H988" s="37" t="s">
        <v>1397</v>
      </c>
      <c r="I988" s="52" t="s">
        <v>42</v>
      </c>
      <c r="J988" s="37" t="str">
        <f t="shared" si="4"/>
        <v>No</v>
      </c>
      <c r="K988" s="35"/>
      <c r="L988" s="35"/>
      <c r="M988" s="35"/>
      <c r="N988" s="4"/>
      <c r="O988" s="4"/>
      <c r="P988" s="50"/>
      <c r="Q988" s="50"/>
      <c r="R988" s="50"/>
      <c r="S988" s="51"/>
      <c r="T988" s="4"/>
      <c r="U988" s="4"/>
    </row>
    <row r="989" ht="18.0" customHeight="1">
      <c r="A989" s="35"/>
      <c r="B989" s="37" t="s">
        <v>1398</v>
      </c>
      <c r="C989" s="38">
        <v>44811.0</v>
      </c>
      <c r="D989" s="37">
        <v>13.0</v>
      </c>
      <c r="E989" s="37">
        <v>430.0</v>
      </c>
      <c r="F989" s="37">
        <v>244.4</v>
      </c>
      <c r="G989" s="39">
        <v>8956.16</v>
      </c>
      <c r="H989" s="37" t="s">
        <v>1399</v>
      </c>
      <c r="I989" s="52" t="s">
        <v>50</v>
      </c>
      <c r="J989" s="37" t="str">
        <f t="shared" si="4"/>
        <v>No</v>
      </c>
      <c r="K989" s="35"/>
      <c r="L989" s="35"/>
      <c r="M989" s="35"/>
      <c r="N989" s="4"/>
      <c r="O989" s="4"/>
      <c r="P989" s="50"/>
      <c r="Q989" s="50"/>
      <c r="R989" s="50"/>
      <c r="S989" s="51"/>
      <c r="T989" s="4"/>
      <c r="U989" s="4"/>
    </row>
    <row r="990" ht="18.0" customHeight="1">
      <c r="A990" s="35"/>
      <c r="B990" s="37" t="s">
        <v>1400</v>
      </c>
      <c r="C990" s="38">
        <v>44721.0</v>
      </c>
      <c r="D990" s="37">
        <v>25.0</v>
      </c>
      <c r="E990" s="37">
        <v>541.0</v>
      </c>
      <c r="F990" s="37">
        <v>82.56</v>
      </c>
      <c r="G990" s="39">
        <v>7744.09</v>
      </c>
      <c r="H990" s="37" t="s">
        <v>1401</v>
      </c>
      <c r="I990" s="52" t="s">
        <v>38</v>
      </c>
      <c r="J990" s="37" t="str">
        <f t="shared" si="4"/>
        <v>No</v>
      </c>
      <c r="K990" s="35"/>
      <c r="L990" s="35"/>
      <c r="M990" s="35"/>
      <c r="N990" s="4"/>
      <c r="O990" s="4"/>
      <c r="P990" s="50"/>
      <c r="Q990" s="50"/>
      <c r="R990" s="50"/>
      <c r="S990" s="51"/>
      <c r="T990" s="4"/>
      <c r="U990" s="4"/>
    </row>
    <row r="991" ht="18.0" customHeight="1">
      <c r="A991" s="35"/>
      <c r="B991" s="37" t="s">
        <v>1402</v>
      </c>
      <c r="C991" s="38">
        <v>44831.0</v>
      </c>
      <c r="D991" s="37">
        <v>16.0</v>
      </c>
      <c r="E991" s="37">
        <v>31.0</v>
      </c>
      <c r="F991" s="37">
        <v>31.59</v>
      </c>
      <c r="G991" s="39">
        <v>7004.65</v>
      </c>
      <c r="H991" s="37" t="s">
        <v>218</v>
      </c>
      <c r="I991" s="52" t="s">
        <v>42</v>
      </c>
      <c r="J991" s="37" t="str">
        <f t="shared" si="4"/>
        <v>No</v>
      </c>
      <c r="K991" s="35"/>
      <c r="L991" s="35"/>
      <c r="M991" s="35"/>
      <c r="N991" s="4"/>
      <c r="O991" s="4"/>
      <c r="P991" s="50"/>
      <c r="Q991" s="50"/>
      <c r="R991" s="50"/>
      <c r="S991" s="51"/>
      <c r="T991" s="4"/>
      <c r="U991" s="4"/>
    </row>
    <row r="992" ht="18.0" customHeight="1">
      <c r="A992" s="35"/>
      <c r="B992" s="37" t="s">
        <v>1403</v>
      </c>
      <c r="C992" s="38">
        <v>44649.0</v>
      </c>
      <c r="D992" s="37">
        <v>28.0</v>
      </c>
      <c r="E992" s="37">
        <v>450.0</v>
      </c>
      <c r="F992" s="37">
        <v>43.59</v>
      </c>
      <c r="G992" s="39">
        <v>6857.62</v>
      </c>
      <c r="H992" s="37" t="s">
        <v>1404</v>
      </c>
      <c r="I992" s="52" t="s">
        <v>50</v>
      </c>
      <c r="J992" s="37" t="str">
        <f t="shared" si="4"/>
        <v>No</v>
      </c>
      <c r="K992" s="35"/>
      <c r="L992" s="35"/>
      <c r="M992" s="35"/>
      <c r="N992" s="4"/>
      <c r="O992" s="4"/>
      <c r="P992" s="50"/>
      <c r="Q992" s="50"/>
      <c r="R992" s="50"/>
      <c r="S992" s="51"/>
      <c r="T992" s="4"/>
      <c r="U992" s="4"/>
    </row>
    <row r="993" ht="18.0" customHeight="1">
      <c r="A993" s="35"/>
      <c r="B993" s="37" t="s">
        <v>1405</v>
      </c>
      <c r="C993" s="38">
        <v>44885.0</v>
      </c>
      <c r="D993" s="37">
        <v>49.0</v>
      </c>
      <c r="E993" s="37">
        <v>721.0</v>
      </c>
      <c r="F993" s="37">
        <v>206.56</v>
      </c>
      <c r="G993" s="39">
        <v>7635.89</v>
      </c>
      <c r="H993" s="37" t="s">
        <v>1406</v>
      </c>
      <c r="I993" s="52" t="s">
        <v>42</v>
      </c>
      <c r="J993" s="37" t="str">
        <f t="shared" si="4"/>
        <v>No</v>
      </c>
      <c r="K993" s="35"/>
      <c r="L993" s="35"/>
      <c r="M993" s="35"/>
      <c r="N993" s="4"/>
      <c r="O993" s="4"/>
      <c r="P993" s="50"/>
      <c r="Q993" s="50"/>
      <c r="R993" s="50"/>
      <c r="S993" s="51"/>
      <c r="T993" s="4"/>
      <c r="U993" s="4"/>
    </row>
    <row r="994" ht="18.0" customHeight="1">
      <c r="A994" s="35"/>
      <c r="B994" s="37" t="s">
        <v>1407</v>
      </c>
      <c r="C994" s="38">
        <v>44834.0</v>
      </c>
      <c r="D994" s="37">
        <v>58.0</v>
      </c>
      <c r="E994" s="37">
        <v>905.0</v>
      </c>
      <c r="F994" s="37">
        <v>109.93</v>
      </c>
      <c r="G994" s="39">
        <v>133.79</v>
      </c>
      <c r="H994" s="37" t="s">
        <v>1408</v>
      </c>
      <c r="I994" s="52" t="s">
        <v>50</v>
      </c>
      <c r="J994" s="37" t="str">
        <f t="shared" si="4"/>
        <v>No</v>
      </c>
      <c r="K994" s="35"/>
      <c r="L994" s="35"/>
      <c r="M994" s="35"/>
      <c r="N994" s="4"/>
      <c r="O994" s="4"/>
      <c r="P994" s="50"/>
      <c r="Q994" s="50"/>
      <c r="R994" s="50"/>
      <c r="S994" s="51"/>
      <c r="T994" s="4"/>
      <c r="U994" s="4"/>
    </row>
    <row r="995" ht="18.0" customHeight="1">
      <c r="A995" s="35"/>
      <c r="B995" s="37" t="s">
        <v>1409</v>
      </c>
      <c r="C995" s="38">
        <v>44895.0</v>
      </c>
      <c r="D995" s="37">
        <v>81.0</v>
      </c>
      <c r="E995" s="37">
        <v>851.0</v>
      </c>
      <c r="F995" s="37">
        <v>37.34</v>
      </c>
      <c r="G995" s="39">
        <v>8788.05</v>
      </c>
      <c r="H995" s="37" t="s">
        <v>1410</v>
      </c>
      <c r="I995" s="52" t="s">
        <v>50</v>
      </c>
      <c r="J995" s="37" t="str">
        <f t="shared" si="4"/>
        <v>No</v>
      </c>
      <c r="K995" s="35"/>
      <c r="L995" s="35"/>
      <c r="M995" s="35"/>
      <c r="N995" s="4"/>
      <c r="O995" s="4"/>
      <c r="P995" s="50"/>
      <c r="Q995" s="50"/>
      <c r="R995" s="50"/>
      <c r="S995" s="51"/>
      <c r="T995" s="4"/>
      <c r="U995" s="4"/>
    </row>
    <row r="996" ht="18.0" customHeight="1">
      <c r="A996" s="35"/>
      <c r="B996" s="37" t="s">
        <v>1411</v>
      </c>
      <c r="C996" s="38">
        <v>44827.0</v>
      </c>
      <c r="D996" s="37">
        <v>60.0</v>
      </c>
      <c r="E996" s="37">
        <v>168.0</v>
      </c>
      <c r="F996" s="37">
        <v>219.49</v>
      </c>
      <c r="G996" s="39">
        <v>3326.51</v>
      </c>
      <c r="H996" s="37" t="s">
        <v>1412</v>
      </c>
      <c r="I996" s="52" t="s">
        <v>50</v>
      </c>
      <c r="J996" s="37" t="str">
        <f t="shared" si="4"/>
        <v>No</v>
      </c>
      <c r="K996" s="35"/>
      <c r="L996" s="35"/>
      <c r="M996" s="35"/>
      <c r="N996" s="4"/>
      <c r="O996" s="4"/>
      <c r="P996" s="50"/>
      <c r="Q996" s="50"/>
      <c r="R996" s="50"/>
      <c r="S996" s="51"/>
      <c r="T996" s="4"/>
      <c r="U996" s="4"/>
    </row>
    <row r="997" ht="18.0" customHeight="1">
      <c r="A997" s="35"/>
      <c r="B997" s="37" t="s">
        <v>1413</v>
      </c>
      <c r="C997" s="38">
        <v>44589.0</v>
      </c>
      <c r="D997" s="37">
        <v>95.0</v>
      </c>
      <c r="E997" s="37">
        <v>93.0</v>
      </c>
      <c r="F997" s="37">
        <v>42.35</v>
      </c>
      <c r="G997" s="39">
        <v>2191.9</v>
      </c>
      <c r="H997" s="37" t="s">
        <v>165</v>
      </c>
      <c r="I997" s="52" t="s">
        <v>38</v>
      </c>
      <c r="J997" s="37" t="str">
        <f t="shared" si="4"/>
        <v>No</v>
      </c>
      <c r="K997" s="35"/>
      <c r="L997" s="35"/>
      <c r="M997" s="35"/>
      <c r="N997" s="4"/>
      <c r="O997" s="4"/>
      <c r="P997" s="50"/>
      <c r="Q997" s="50"/>
      <c r="R997" s="50"/>
      <c r="S997" s="51"/>
      <c r="T997" s="4"/>
      <c r="U997" s="4"/>
    </row>
    <row r="998" ht="18.0" customHeight="1">
      <c r="A998" s="35"/>
      <c r="B998" s="37" t="s">
        <v>1414</v>
      </c>
      <c r="C998" s="38">
        <v>44683.0</v>
      </c>
      <c r="D998" s="37">
        <v>21.0</v>
      </c>
      <c r="E998" s="37">
        <v>761.0</v>
      </c>
      <c r="F998" s="37">
        <v>180.51</v>
      </c>
      <c r="G998" s="39">
        <v>695.91</v>
      </c>
      <c r="H998" s="37" t="s">
        <v>1415</v>
      </c>
      <c r="I998" s="52" t="s">
        <v>42</v>
      </c>
      <c r="J998" s="37" t="str">
        <f t="shared" si="4"/>
        <v>No</v>
      </c>
      <c r="K998" s="35"/>
      <c r="L998" s="35"/>
      <c r="M998" s="35"/>
      <c r="N998" s="4"/>
      <c r="O998" s="4"/>
      <c r="P998" s="50"/>
      <c r="Q998" s="50"/>
      <c r="R998" s="50"/>
      <c r="S998" s="51"/>
      <c r="T998" s="4"/>
      <c r="U998" s="4"/>
    </row>
    <row r="999" ht="18.0" customHeight="1">
      <c r="A999" s="35"/>
      <c r="B999" s="37" t="s">
        <v>1416</v>
      </c>
      <c r="C999" s="38">
        <v>44720.0</v>
      </c>
      <c r="D999" s="37">
        <v>7.0</v>
      </c>
      <c r="E999" s="37">
        <v>978.0</v>
      </c>
      <c r="F999" s="37">
        <v>56.11</v>
      </c>
      <c r="G999" s="39">
        <v>5961.58</v>
      </c>
      <c r="H999" s="37" t="s">
        <v>1417</v>
      </c>
      <c r="I999" s="52" t="s">
        <v>42</v>
      </c>
      <c r="J999" s="37" t="str">
        <f t="shared" si="4"/>
        <v>Yes</v>
      </c>
      <c r="K999" s="35"/>
      <c r="L999" s="35"/>
      <c r="M999" s="35"/>
      <c r="N999" s="4"/>
      <c r="O999" s="4"/>
      <c r="P999" s="50"/>
      <c r="Q999" s="50"/>
      <c r="R999" s="50"/>
      <c r="S999" s="51"/>
      <c r="T999" s="4"/>
      <c r="U999" s="4"/>
    </row>
    <row r="1000" ht="18.0" customHeight="1">
      <c r="A1000" s="35"/>
      <c r="B1000" s="37" t="s">
        <v>1418</v>
      </c>
      <c r="C1000" s="38">
        <v>44829.0</v>
      </c>
      <c r="D1000" s="37">
        <v>94.0</v>
      </c>
      <c r="E1000" s="37">
        <v>185.0</v>
      </c>
      <c r="F1000" s="37">
        <v>148.8</v>
      </c>
      <c r="G1000" s="39">
        <v>25.97</v>
      </c>
      <c r="H1000" s="37" t="s">
        <v>1419</v>
      </c>
      <c r="I1000" s="52" t="s">
        <v>42</v>
      </c>
      <c r="J1000" s="37" t="str">
        <f t="shared" si="4"/>
        <v>No</v>
      </c>
      <c r="K1000" s="35"/>
      <c r="L1000" s="35"/>
      <c r="M1000" s="35"/>
      <c r="N1000" s="4"/>
      <c r="O1000" s="4"/>
      <c r="P1000" s="50"/>
      <c r="Q1000" s="50"/>
      <c r="R1000" s="50"/>
      <c r="S1000" s="51"/>
      <c r="T1000" s="4"/>
      <c r="U1000" s="4"/>
    </row>
    <row r="1001" ht="18.0" customHeight="1">
      <c r="A1001" s="35"/>
      <c r="B1001" s="37" t="s">
        <v>40</v>
      </c>
      <c r="C1001" s="38">
        <v>44676.0</v>
      </c>
      <c r="D1001" s="37">
        <v>58.0</v>
      </c>
      <c r="E1001" s="37">
        <v>295.0</v>
      </c>
      <c r="F1001" s="37">
        <v>106.66</v>
      </c>
      <c r="G1001" s="39">
        <v>3616.16</v>
      </c>
      <c r="H1001" s="37" t="s">
        <v>1420</v>
      </c>
      <c r="I1001" s="52" t="s">
        <v>42</v>
      </c>
      <c r="J1001" s="37" t="str">
        <f t="shared" si="4"/>
        <v>No</v>
      </c>
      <c r="K1001" s="35"/>
      <c r="L1001" s="35"/>
      <c r="M1001" s="35"/>
      <c r="N1001" s="4"/>
      <c r="O1001" s="4"/>
      <c r="P1001" s="50"/>
      <c r="Q1001" s="50"/>
      <c r="R1001" s="50"/>
      <c r="S1001" s="51"/>
      <c r="T1001" s="4"/>
      <c r="U1001" s="4"/>
    </row>
    <row r="1002" ht="18.0" customHeight="1">
      <c r="A1002" s="35"/>
      <c r="B1002" s="37" t="s">
        <v>1421</v>
      </c>
      <c r="C1002" s="38">
        <v>44711.0</v>
      </c>
      <c r="D1002" s="37">
        <v>10.0</v>
      </c>
      <c r="E1002" s="37">
        <v>547.0</v>
      </c>
      <c r="F1002" s="37">
        <v>38.99</v>
      </c>
      <c r="G1002" s="39">
        <v>9552.84</v>
      </c>
      <c r="H1002" s="37" t="s">
        <v>1422</v>
      </c>
      <c r="I1002" s="52" t="s">
        <v>50</v>
      </c>
      <c r="J1002" s="37" t="str">
        <f t="shared" si="4"/>
        <v>No</v>
      </c>
      <c r="K1002" s="35"/>
      <c r="L1002" s="35"/>
      <c r="M1002" s="35"/>
      <c r="N1002" s="4"/>
      <c r="O1002" s="4"/>
      <c r="P1002" s="50"/>
      <c r="Q1002" s="50"/>
      <c r="R1002" s="50"/>
      <c r="S1002" s="51"/>
      <c r="T1002" s="4"/>
      <c r="U1002" s="4"/>
    </row>
    <row r="1003" ht="18.0" customHeight="1">
      <c r="A1003" s="35"/>
      <c r="B1003" s="37" t="s">
        <v>1423</v>
      </c>
      <c r="C1003" s="38">
        <v>44573.0</v>
      </c>
      <c r="D1003" s="37">
        <v>8.0</v>
      </c>
      <c r="E1003" s="37">
        <v>284.0</v>
      </c>
      <c r="F1003" s="37">
        <v>40.66</v>
      </c>
      <c r="G1003" s="39">
        <v>7641.57</v>
      </c>
      <c r="H1003" s="37" t="s">
        <v>1424</v>
      </c>
      <c r="I1003" s="52" t="s">
        <v>50</v>
      </c>
      <c r="J1003" s="37" t="str">
        <f t="shared" si="4"/>
        <v>No</v>
      </c>
      <c r="K1003" s="35"/>
      <c r="L1003" s="35"/>
      <c r="M1003" s="35"/>
      <c r="N1003" s="4"/>
      <c r="O1003" s="4"/>
      <c r="P1003" s="50"/>
      <c r="Q1003" s="50"/>
      <c r="R1003" s="50"/>
      <c r="S1003" s="51"/>
      <c r="T1003" s="4"/>
      <c r="U1003" s="4"/>
    </row>
    <row r="1004" ht="18.0" customHeight="1">
      <c r="A1004" s="35"/>
      <c r="B1004" s="37" t="s">
        <v>1425</v>
      </c>
      <c r="C1004" s="38">
        <v>44840.0</v>
      </c>
      <c r="D1004" s="37">
        <v>26.0</v>
      </c>
      <c r="E1004" s="37">
        <v>433.0</v>
      </c>
      <c r="F1004" s="37">
        <v>174.09</v>
      </c>
      <c r="G1004" s="39">
        <v>7780.94</v>
      </c>
      <c r="H1004" s="37" t="s">
        <v>87</v>
      </c>
      <c r="I1004" s="52" t="s">
        <v>42</v>
      </c>
      <c r="J1004" s="37" t="str">
        <f t="shared" si="4"/>
        <v>No</v>
      </c>
      <c r="K1004" s="35"/>
      <c r="L1004" s="35"/>
      <c r="M1004" s="35"/>
      <c r="N1004" s="4"/>
      <c r="O1004" s="4"/>
      <c r="P1004" s="50"/>
      <c r="Q1004" s="50"/>
      <c r="R1004" s="50"/>
      <c r="S1004" s="51"/>
      <c r="T1004" s="4"/>
      <c r="U1004" s="4"/>
    </row>
    <row r="1005" ht="18.0" customHeight="1">
      <c r="A1005" s="35"/>
      <c r="B1005" s="37" t="s">
        <v>1426</v>
      </c>
      <c r="C1005" s="38">
        <v>44714.0</v>
      </c>
      <c r="D1005" s="37">
        <v>11.0</v>
      </c>
      <c r="E1005" s="37">
        <v>769.0</v>
      </c>
      <c r="F1005" s="37">
        <v>137.38</v>
      </c>
      <c r="G1005" s="39">
        <v>2310.42</v>
      </c>
      <c r="H1005" s="37" t="s">
        <v>37</v>
      </c>
      <c r="I1005" s="52" t="s">
        <v>38</v>
      </c>
      <c r="J1005" s="37" t="str">
        <f t="shared" si="4"/>
        <v>No</v>
      </c>
      <c r="K1005" s="35"/>
      <c r="L1005" s="35"/>
      <c r="M1005" s="35"/>
      <c r="N1005" s="4"/>
      <c r="O1005" s="4"/>
      <c r="P1005" s="50"/>
      <c r="Q1005" s="50"/>
      <c r="R1005" s="50"/>
      <c r="S1005" s="51"/>
      <c r="T1005" s="4"/>
      <c r="U1005" s="4"/>
    </row>
    <row r="1006" ht="18.0" customHeight="1">
      <c r="A1006" s="35"/>
      <c r="B1006" s="37" t="s">
        <v>1427</v>
      </c>
      <c r="C1006" s="38">
        <v>44790.0</v>
      </c>
      <c r="D1006" s="37">
        <v>28.0</v>
      </c>
      <c r="E1006" s="37">
        <v>53.0</v>
      </c>
      <c r="F1006" s="37">
        <v>99.01</v>
      </c>
      <c r="G1006" s="39">
        <v>7682.76</v>
      </c>
      <c r="H1006" s="37" t="s">
        <v>41</v>
      </c>
      <c r="I1006" s="52" t="s">
        <v>50</v>
      </c>
      <c r="J1006" s="37" t="str">
        <f t="shared" si="4"/>
        <v>No</v>
      </c>
      <c r="K1006" s="35"/>
      <c r="L1006" s="35"/>
      <c r="M1006" s="35"/>
      <c r="N1006" s="4"/>
      <c r="O1006" s="4"/>
      <c r="P1006" s="50"/>
      <c r="Q1006" s="50"/>
      <c r="R1006" s="50"/>
      <c r="S1006" s="51"/>
      <c r="T1006" s="4"/>
      <c r="U1006" s="4"/>
    </row>
    <row r="1007" ht="18.0" customHeight="1">
      <c r="A1007" s="35"/>
      <c r="B1007" s="37" t="s">
        <v>1428</v>
      </c>
      <c r="C1007" s="38">
        <v>44674.0</v>
      </c>
      <c r="D1007" s="37">
        <v>64.0</v>
      </c>
      <c r="E1007" s="37">
        <v>175.0</v>
      </c>
      <c r="F1007" s="37">
        <v>1.98</v>
      </c>
      <c r="G1007" s="39">
        <v>9815.53</v>
      </c>
      <c r="H1007" s="37" t="s">
        <v>45</v>
      </c>
      <c r="I1007" s="52" t="s">
        <v>42</v>
      </c>
      <c r="J1007" s="37" t="str">
        <f t="shared" si="4"/>
        <v>No</v>
      </c>
      <c r="K1007" s="35"/>
      <c r="L1007" s="35"/>
      <c r="M1007" s="35"/>
      <c r="N1007" s="4"/>
      <c r="O1007" s="4"/>
      <c r="P1007" s="50"/>
      <c r="Q1007" s="50"/>
      <c r="R1007" s="50"/>
      <c r="S1007" s="51"/>
      <c r="T1007" s="4"/>
      <c r="U1007" s="4"/>
    </row>
    <row r="1008" ht="18.0" customHeight="1">
      <c r="A1008" s="35"/>
      <c r="B1008" s="37" t="s">
        <v>1429</v>
      </c>
      <c r="C1008" s="38">
        <v>44788.0</v>
      </c>
      <c r="D1008" s="37">
        <v>90.0</v>
      </c>
      <c r="E1008" s="37">
        <v>31.0</v>
      </c>
      <c r="F1008" s="37">
        <v>41.44</v>
      </c>
      <c r="G1008" s="39">
        <v>5277.71</v>
      </c>
      <c r="H1008" s="37" t="s">
        <v>49</v>
      </c>
      <c r="I1008" s="52" t="s">
        <v>42</v>
      </c>
      <c r="J1008" s="37" t="str">
        <f t="shared" si="4"/>
        <v>No</v>
      </c>
      <c r="K1008" s="35"/>
      <c r="L1008" s="35"/>
      <c r="M1008" s="35"/>
      <c r="N1008" s="4"/>
      <c r="O1008" s="4"/>
      <c r="P1008" s="50"/>
      <c r="Q1008" s="50"/>
      <c r="R1008" s="50"/>
      <c r="S1008" s="51"/>
      <c r="T1008" s="4"/>
      <c r="U1008" s="4"/>
    </row>
    <row r="1009" ht="18.0" customHeight="1">
      <c r="A1009" s="35"/>
      <c r="B1009" s="37" t="s">
        <v>48</v>
      </c>
      <c r="C1009" s="38">
        <v>44842.0</v>
      </c>
      <c r="D1009" s="37">
        <v>64.0</v>
      </c>
      <c r="E1009" s="37">
        <v>880.0</v>
      </c>
      <c r="F1009" s="37">
        <v>200.35</v>
      </c>
      <c r="G1009" s="39">
        <v>1522.26</v>
      </c>
      <c r="H1009" s="37" t="s">
        <v>53</v>
      </c>
      <c r="I1009" s="52" t="s">
        <v>42</v>
      </c>
      <c r="J1009" s="37" t="str">
        <f t="shared" si="4"/>
        <v>No</v>
      </c>
      <c r="K1009" s="35"/>
      <c r="L1009" s="35"/>
      <c r="M1009" s="35"/>
      <c r="N1009" s="4"/>
      <c r="O1009" s="4"/>
      <c r="P1009" s="50"/>
      <c r="Q1009" s="50"/>
      <c r="R1009" s="50"/>
      <c r="S1009" s="51"/>
      <c r="T1009" s="4"/>
      <c r="U1009" s="4"/>
    </row>
    <row r="1010" ht="18.0" customHeight="1">
      <c r="A1010" s="35"/>
      <c r="B1010" s="37" t="s">
        <v>1430</v>
      </c>
      <c r="C1010" s="38">
        <v>44673.0</v>
      </c>
      <c r="D1010" s="37">
        <v>71.0</v>
      </c>
      <c r="E1010" s="37">
        <v>714.0</v>
      </c>
      <c r="F1010" s="37">
        <v>98.54</v>
      </c>
      <c r="G1010" s="39">
        <v>8889.03</v>
      </c>
      <c r="H1010" s="37" t="s">
        <v>56</v>
      </c>
      <c r="I1010" s="52" t="s">
        <v>42</v>
      </c>
      <c r="J1010" s="37" t="str">
        <f t="shared" si="4"/>
        <v>No</v>
      </c>
      <c r="K1010" s="35"/>
      <c r="L1010" s="35"/>
      <c r="M1010" s="35"/>
      <c r="N1010" s="4"/>
      <c r="O1010" s="4"/>
      <c r="P1010" s="50"/>
      <c r="Q1010" s="50"/>
      <c r="R1010" s="50"/>
      <c r="S1010" s="51"/>
      <c r="T1010" s="4"/>
      <c r="U1010" s="4"/>
    </row>
    <row r="1011" ht="18.0" customHeight="1">
      <c r="A1011" s="35"/>
      <c r="B1011" s="37" t="s">
        <v>21</v>
      </c>
      <c r="C1011" s="38">
        <v>44844.0</v>
      </c>
      <c r="D1011" s="37">
        <v>100.0</v>
      </c>
      <c r="E1011" s="37">
        <v>412.0</v>
      </c>
      <c r="F1011" s="37">
        <v>159.98</v>
      </c>
      <c r="G1011" s="39">
        <v>9318.99</v>
      </c>
      <c r="H1011" s="37" t="s">
        <v>59</v>
      </c>
      <c r="I1011" s="52" t="s">
        <v>38</v>
      </c>
      <c r="J1011" s="37" t="str">
        <f t="shared" si="4"/>
        <v>No</v>
      </c>
      <c r="K1011" s="35"/>
      <c r="L1011" s="35"/>
      <c r="M1011" s="35"/>
      <c r="N1011" s="4"/>
      <c r="O1011" s="4"/>
      <c r="P1011" s="50"/>
      <c r="Q1011" s="50"/>
      <c r="R1011" s="50"/>
      <c r="S1011" s="51"/>
      <c r="T1011" s="4"/>
      <c r="U1011" s="4"/>
    </row>
    <row r="1012" ht="18.0" customHeight="1">
      <c r="A1012" s="35"/>
      <c r="B1012" s="37" t="s">
        <v>1431</v>
      </c>
      <c r="C1012" s="38">
        <v>44695.0</v>
      </c>
      <c r="D1012" s="37">
        <v>91.0</v>
      </c>
      <c r="E1012" s="37">
        <v>916.0</v>
      </c>
      <c r="F1012" s="37">
        <v>40.54</v>
      </c>
      <c r="G1012" s="39">
        <v>9616.92</v>
      </c>
      <c r="H1012" s="37" t="s">
        <v>61</v>
      </c>
      <c r="I1012" s="52" t="s">
        <v>38</v>
      </c>
      <c r="J1012" s="37" t="str">
        <f t="shared" si="4"/>
        <v>Yes</v>
      </c>
      <c r="K1012" s="35"/>
      <c r="L1012" s="35"/>
      <c r="M1012" s="35"/>
      <c r="N1012" s="4"/>
      <c r="O1012" s="4"/>
      <c r="P1012" s="50"/>
      <c r="Q1012" s="50"/>
      <c r="R1012" s="50"/>
      <c r="S1012" s="51"/>
      <c r="T1012" s="4"/>
      <c r="U1012" s="4"/>
    </row>
    <row r="1013" ht="18.0" customHeight="1">
      <c r="A1013" s="35"/>
      <c r="B1013" s="37"/>
      <c r="C1013" s="53"/>
      <c r="D1013" s="53"/>
      <c r="E1013" s="53"/>
      <c r="F1013" s="53"/>
      <c r="G1013" s="53"/>
      <c r="H1013" s="53"/>
      <c r="I1013" s="53"/>
      <c r="J1013" s="54"/>
      <c r="M1013" s="35"/>
      <c r="N1013" s="4"/>
      <c r="O1013" s="4"/>
      <c r="P1013" s="50"/>
      <c r="Q1013" s="50"/>
      <c r="R1013" s="50"/>
      <c r="S1013" s="51"/>
      <c r="T1013" s="4"/>
      <c r="U1013" s="4"/>
    </row>
  </sheetData>
  <mergeCells count="17">
    <mergeCell ref="C6:J6"/>
    <mergeCell ref="B7:B8"/>
    <mergeCell ref="C7:J8"/>
    <mergeCell ref="K7:K8"/>
    <mergeCell ref="C9:J9"/>
    <mergeCell ref="B11:J12"/>
    <mergeCell ref="L15:N15"/>
    <mergeCell ref="L16:L17"/>
    <mergeCell ref="M16:M17"/>
    <mergeCell ref="B1:J1"/>
    <mergeCell ref="P1:S1"/>
    <mergeCell ref="A2:A30"/>
    <mergeCell ref="B2:K2"/>
    <mergeCell ref="C3:J3"/>
    <mergeCell ref="C4:J4"/>
    <mergeCell ref="C5:J5"/>
    <mergeCell ref="N16:N17"/>
  </mergeCells>
  <conditionalFormatting sqref="J14:J1012">
    <cfRule type="containsText" dxfId="0" priority="1" operator="containsText" text="Yes">
      <formula>NOT(ISERROR(SEARCH(("Yes"),(J14))))</formula>
    </cfRule>
  </conditionalFormatting>
  <conditionalFormatting sqref="J14:J1012">
    <cfRule type="containsText" dxfId="1" priority="2" operator="containsText" text="No">
      <formula>NOT(ISERROR(SEARCH(("No"),(J14))))</formula>
    </cfRule>
  </conditionalFormatting>
  <hyperlinks>
    <hyperlink r:id="rId1" ref="C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3.38"/>
    <col customWidth="1" min="3" max="3" width="16.13"/>
    <col customWidth="1" min="4" max="4" width="32.63"/>
    <col customWidth="1" min="5" max="5" width="20.38"/>
    <col customWidth="1" min="6" max="6" width="21.88"/>
  </cols>
  <sheetData>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sheetData>
  <customSheetViews>
    <customSheetView guid="{1560A757-E51B-4F09-83E6-3BF351DEFE17}" filter="1" showAutoFilter="1">
      <autoFilter ref="$A$2:$E$3402"/>
    </customSheetView>
  </customSheetViews>
  <drawing r:id="rId2"/>
  <tableParts count="1">
    <tablePart r:id="rId4"/>
  </tableParts>
  <extLst>
    <ext uri="{3A4CF648-6AED-40f4-86FF-DC5316D8AED3}">
      <x14:slicerList>
        <x14:slicer r:id="rId5"/>
      </x14:slicerList>
    </ext>
  </extLst>
</worksheet>
</file>