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riar Mahmud\Downloads\"/>
    </mc:Choice>
  </mc:AlternateContent>
  <bookViews>
    <workbookView xWindow="0" yWindow="0" windowWidth="20490" windowHeight="7095"/>
  </bookViews>
  <sheets>
    <sheet name="Sheet1" sheetId="1" r:id="rId1"/>
    <sheet name="Sheet2" sheetId="2" r:id="rId2"/>
  </sheets>
  <calcPr calcId="162913"/>
  <extLst>
    <ext uri="GoogleSheetsCustomDataVersion2">
      <go:sheetsCustomData xmlns:go="http://customooxmlschemas.google.com/" r:id="rId6" roundtripDataChecksum="sjwdRLBeOcsjQ4sLJGKyWyzS+oyBsQ99KGywacuvveg="/>
    </ext>
  </extLst>
</workbook>
</file>

<file path=xl/calcChain.xml><?xml version="1.0" encoding="utf-8"?>
<calcChain xmlns="http://schemas.openxmlformats.org/spreadsheetml/2006/main">
  <c r="D69" i="1" l="1"/>
  <c r="D68" i="1"/>
  <c r="D67" i="1"/>
  <c r="X262" i="1"/>
  <c r="X261" i="1"/>
  <c r="X260" i="1"/>
  <c r="N260" i="1"/>
  <c r="N262" i="1"/>
  <c r="N261" i="1"/>
  <c r="AL211" i="1" l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10" i="1"/>
  <c r="AL209" i="1"/>
  <c r="AM209" i="1"/>
  <c r="AM210" i="1" s="1"/>
  <c r="Z262" i="1"/>
  <c r="P262" i="1"/>
  <c r="Z261" i="1"/>
  <c r="P261" i="1"/>
  <c r="Z260" i="1"/>
  <c r="P260" i="1"/>
  <c r="R210" i="1"/>
  <c r="Q210" i="1"/>
  <c r="O210" i="1"/>
  <c r="P210" i="1" s="1"/>
  <c r="S210" i="1" s="1"/>
  <c r="T210" i="1" s="1"/>
  <c r="Z209" i="1"/>
  <c r="Y209" i="1"/>
  <c r="Y210" i="1" s="1"/>
  <c r="P209" i="1"/>
  <c r="O209" i="1"/>
  <c r="E209" i="1"/>
  <c r="F209" i="1" s="1"/>
  <c r="AB208" i="1"/>
  <c r="AA208" i="1"/>
  <c r="Z208" i="1"/>
  <c r="S208" i="1"/>
  <c r="R208" i="1"/>
  <c r="Q208" i="1"/>
  <c r="P208" i="1"/>
  <c r="I208" i="1"/>
  <c r="J208" i="1" s="1"/>
  <c r="H208" i="1"/>
  <c r="F208" i="1"/>
  <c r="G208" i="1" s="1"/>
  <c r="AB187" i="1"/>
  <c r="P187" i="1"/>
  <c r="F187" i="1"/>
  <c r="AB186" i="1"/>
  <c r="P186" i="1"/>
  <c r="F186" i="1"/>
  <c r="AB185" i="1"/>
  <c r="P185" i="1"/>
  <c r="F185" i="1"/>
  <c r="Y182" i="1"/>
  <c r="O182" i="1"/>
  <c r="E182" i="1"/>
  <c r="Y181" i="1"/>
  <c r="O181" i="1"/>
  <c r="E181" i="1"/>
  <c r="Y180" i="1"/>
  <c r="O180" i="1"/>
  <c r="E180" i="1"/>
  <c r="Y179" i="1"/>
  <c r="O179" i="1"/>
  <c r="E179" i="1"/>
  <c r="Y178" i="1"/>
  <c r="O178" i="1"/>
  <c r="E178" i="1"/>
  <c r="Y177" i="1"/>
  <c r="O177" i="1"/>
  <c r="E177" i="1"/>
  <c r="Y176" i="1"/>
  <c r="O176" i="1"/>
  <c r="E176" i="1"/>
  <c r="Y175" i="1"/>
  <c r="O175" i="1"/>
  <c r="E175" i="1"/>
  <c r="Y174" i="1"/>
  <c r="O174" i="1"/>
  <c r="E174" i="1"/>
  <c r="Y173" i="1"/>
  <c r="O173" i="1"/>
  <c r="E173" i="1"/>
  <c r="Y172" i="1"/>
  <c r="O172" i="1"/>
  <c r="E172" i="1"/>
  <c r="Y171" i="1"/>
  <c r="O171" i="1"/>
  <c r="E171" i="1"/>
  <c r="Y169" i="1"/>
  <c r="Z169" i="1" s="1"/>
  <c r="P169" i="1"/>
  <c r="O169" i="1"/>
  <c r="I169" i="1"/>
  <c r="J169" i="1" s="1"/>
  <c r="E169" i="1"/>
  <c r="F169" i="1" s="1"/>
  <c r="G169" i="1" s="1"/>
  <c r="AL168" i="1"/>
  <c r="AJ168" i="1"/>
  <c r="Z168" i="1"/>
  <c r="Y168" i="1"/>
  <c r="R168" i="1"/>
  <c r="Q168" i="1"/>
  <c r="P168" i="1"/>
  <c r="S168" i="1" s="1"/>
  <c r="T168" i="1" s="1"/>
  <c r="O168" i="1"/>
  <c r="E168" i="1"/>
  <c r="F168" i="1" s="1"/>
  <c r="AL167" i="1"/>
  <c r="AJ167" i="1"/>
  <c r="AC167" i="1"/>
  <c r="AD167" i="1" s="1"/>
  <c r="AB167" i="1"/>
  <c r="Z167" i="1"/>
  <c r="AA167" i="1" s="1"/>
  <c r="Y167" i="1"/>
  <c r="T167" i="1"/>
  <c r="R167" i="1"/>
  <c r="Q167" i="1"/>
  <c r="P167" i="1"/>
  <c r="S167" i="1" s="1"/>
  <c r="O167" i="1"/>
  <c r="E167" i="1"/>
  <c r="F167" i="1" s="1"/>
  <c r="AL166" i="1"/>
  <c r="AJ166" i="1"/>
  <c r="AC166" i="1"/>
  <c r="AD166" i="1" s="1"/>
  <c r="Y166" i="1"/>
  <c r="Z166" i="1" s="1"/>
  <c r="P166" i="1"/>
  <c r="O166" i="1"/>
  <c r="F166" i="1"/>
  <c r="E166" i="1"/>
  <c r="AL165" i="1"/>
  <c r="AJ165" i="1"/>
  <c r="Y165" i="1"/>
  <c r="Z165" i="1" s="1"/>
  <c r="P165" i="1"/>
  <c r="O165" i="1"/>
  <c r="I165" i="1"/>
  <c r="J165" i="1" s="1"/>
  <c r="H165" i="1"/>
  <c r="F165" i="1"/>
  <c r="G165" i="1" s="1"/>
  <c r="E165" i="1"/>
  <c r="AL164" i="1"/>
  <c r="AJ164" i="1"/>
  <c r="Z164" i="1"/>
  <c r="Y164" i="1"/>
  <c r="R164" i="1"/>
  <c r="Q164" i="1"/>
  <c r="P164" i="1"/>
  <c r="S164" i="1" s="1"/>
  <c r="T164" i="1" s="1"/>
  <c r="O164" i="1"/>
  <c r="E164" i="1"/>
  <c r="F164" i="1" s="1"/>
  <c r="AL163" i="1"/>
  <c r="AJ163" i="1"/>
  <c r="AC163" i="1"/>
  <c r="AD163" i="1" s="1"/>
  <c r="AB163" i="1"/>
  <c r="Z163" i="1"/>
  <c r="AA163" i="1" s="1"/>
  <c r="Y163" i="1"/>
  <c r="T163" i="1"/>
  <c r="R163" i="1"/>
  <c r="Q163" i="1"/>
  <c r="P163" i="1"/>
  <c r="S163" i="1" s="1"/>
  <c r="O163" i="1"/>
  <c r="F163" i="1"/>
  <c r="E163" i="1"/>
  <c r="AL162" i="1"/>
  <c r="AJ162" i="1"/>
  <c r="Y162" i="1"/>
  <c r="Z162" i="1" s="1"/>
  <c r="P162" i="1"/>
  <c r="O162" i="1"/>
  <c r="F162" i="1"/>
  <c r="E162" i="1"/>
  <c r="AL161" i="1"/>
  <c r="AJ161" i="1"/>
  <c r="Z161" i="1"/>
  <c r="Y161" i="1"/>
  <c r="P161" i="1"/>
  <c r="O161" i="1"/>
  <c r="I161" i="1"/>
  <c r="J161" i="1" s="1"/>
  <c r="H161" i="1"/>
  <c r="F161" i="1"/>
  <c r="G161" i="1" s="1"/>
  <c r="E161" i="1"/>
  <c r="AL160" i="1"/>
  <c r="AJ160" i="1"/>
  <c r="Z160" i="1"/>
  <c r="Y160" i="1"/>
  <c r="R160" i="1"/>
  <c r="Q160" i="1"/>
  <c r="P160" i="1"/>
  <c r="S160" i="1" s="1"/>
  <c r="T160" i="1" s="1"/>
  <c r="O160" i="1"/>
  <c r="E160" i="1"/>
  <c r="F160" i="1" s="1"/>
  <c r="AL159" i="1"/>
  <c r="AJ159" i="1"/>
  <c r="AC159" i="1"/>
  <c r="AD159" i="1" s="1"/>
  <c r="AB159" i="1"/>
  <c r="Z159" i="1"/>
  <c r="AA159" i="1" s="1"/>
  <c r="Y159" i="1"/>
  <c r="S159" i="1"/>
  <c r="T159" i="1" s="1"/>
  <c r="O159" i="1"/>
  <c r="P159" i="1" s="1"/>
  <c r="H159" i="1"/>
  <c r="G159" i="1"/>
  <c r="F159" i="1"/>
  <c r="I159" i="1" s="1"/>
  <c r="J159" i="1" s="1"/>
  <c r="E159" i="1"/>
  <c r="AL158" i="1"/>
  <c r="AJ158" i="1"/>
  <c r="AB158" i="1"/>
  <c r="AA158" i="1"/>
  <c r="Z158" i="1"/>
  <c r="AC158" i="1" s="1"/>
  <c r="AD158" i="1" s="1"/>
  <c r="Y158" i="1"/>
  <c r="O158" i="1"/>
  <c r="P158" i="1" s="1"/>
  <c r="H158" i="1"/>
  <c r="G158" i="1"/>
  <c r="F158" i="1"/>
  <c r="I158" i="1" s="1"/>
  <c r="J158" i="1" s="1"/>
  <c r="E158" i="1"/>
  <c r="AL157" i="1"/>
  <c r="AJ157" i="1"/>
  <c r="AB157" i="1"/>
  <c r="AA157" i="1"/>
  <c r="Z157" i="1"/>
  <c r="AC157" i="1" s="1"/>
  <c r="AD157" i="1" s="1"/>
  <c r="Y157" i="1"/>
  <c r="O157" i="1"/>
  <c r="P157" i="1" s="1"/>
  <c r="H157" i="1"/>
  <c r="G157" i="1"/>
  <c r="F157" i="1"/>
  <c r="I157" i="1" s="1"/>
  <c r="J157" i="1" s="1"/>
  <c r="E157" i="1"/>
  <c r="AL156" i="1"/>
  <c r="AJ156" i="1"/>
  <c r="AB156" i="1"/>
  <c r="AA156" i="1"/>
  <c r="Z156" i="1"/>
  <c r="AC156" i="1" s="1"/>
  <c r="AD156" i="1" s="1"/>
  <c r="Y156" i="1"/>
  <c r="O156" i="1"/>
  <c r="P156" i="1" s="1"/>
  <c r="H156" i="1"/>
  <c r="G156" i="1"/>
  <c r="F156" i="1"/>
  <c r="I156" i="1" s="1"/>
  <c r="J156" i="1" s="1"/>
  <c r="E156" i="1"/>
  <c r="AL155" i="1"/>
  <c r="AJ155" i="1"/>
  <c r="AB155" i="1"/>
  <c r="AA155" i="1"/>
  <c r="Z155" i="1"/>
  <c r="AC155" i="1" s="1"/>
  <c r="AD155" i="1" s="1"/>
  <c r="Y155" i="1"/>
  <c r="O155" i="1"/>
  <c r="P155" i="1" s="1"/>
  <c r="H155" i="1"/>
  <c r="G155" i="1"/>
  <c r="F155" i="1"/>
  <c r="I155" i="1" s="1"/>
  <c r="J155" i="1" s="1"/>
  <c r="E155" i="1"/>
  <c r="AL154" i="1"/>
  <c r="AJ154" i="1"/>
  <c r="AB154" i="1"/>
  <c r="AA154" i="1"/>
  <c r="Z154" i="1"/>
  <c r="AC154" i="1" s="1"/>
  <c r="AD154" i="1" s="1"/>
  <c r="Y154" i="1"/>
  <c r="O154" i="1"/>
  <c r="P154" i="1" s="1"/>
  <c r="H154" i="1"/>
  <c r="G154" i="1"/>
  <c r="F154" i="1"/>
  <c r="I154" i="1" s="1"/>
  <c r="J154" i="1" s="1"/>
  <c r="E154" i="1"/>
  <c r="AL153" i="1"/>
  <c r="AJ153" i="1"/>
  <c r="AB153" i="1"/>
  <c r="AA153" i="1"/>
  <c r="Z153" i="1"/>
  <c r="AC153" i="1" s="1"/>
  <c r="AD153" i="1" s="1"/>
  <c r="Y153" i="1"/>
  <c r="S153" i="1"/>
  <c r="T153" i="1" s="1"/>
  <c r="O153" i="1"/>
  <c r="P153" i="1" s="1"/>
  <c r="H153" i="1"/>
  <c r="G153" i="1"/>
  <c r="F153" i="1"/>
  <c r="I153" i="1" s="1"/>
  <c r="J153" i="1" s="1"/>
  <c r="E153" i="1"/>
  <c r="AL152" i="1"/>
  <c r="AJ152" i="1"/>
  <c r="AB152" i="1"/>
  <c r="AA152" i="1"/>
  <c r="Z152" i="1"/>
  <c r="AC152" i="1" s="1"/>
  <c r="AD152" i="1" s="1"/>
  <c r="Y152" i="1"/>
  <c r="O152" i="1"/>
  <c r="P152" i="1" s="1"/>
  <c r="H152" i="1"/>
  <c r="G152" i="1"/>
  <c r="F152" i="1"/>
  <c r="I152" i="1" s="1"/>
  <c r="J152" i="1" s="1"/>
  <c r="E152" i="1"/>
  <c r="AL151" i="1"/>
  <c r="AJ151" i="1"/>
  <c r="AB151" i="1"/>
  <c r="AA151" i="1"/>
  <c r="Z151" i="1"/>
  <c r="AC151" i="1" s="1"/>
  <c r="AD151" i="1" s="1"/>
  <c r="Y151" i="1"/>
  <c r="S151" i="1"/>
  <c r="T151" i="1" s="1"/>
  <c r="P151" i="1"/>
  <c r="O151" i="1"/>
  <c r="H151" i="1"/>
  <c r="G151" i="1"/>
  <c r="F151" i="1"/>
  <c r="I151" i="1" s="1"/>
  <c r="J151" i="1" s="1"/>
  <c r="E151" i="1"/>
  <c r="AL150" i="1"/>
  <c r="AJ150" i="1"/>
  <c r="AB150" i="1"/>
  <c r="AA150" i="1"/>
  <c r="Z150" i="1"/>
  <c r="AC150" i="1" s="1"/>
  <c r="AD150" i="1" s="1"/>
  <c r="Y150" i="1"/>
  <c r="O150" i="1"/>
  <c r="P150" i="1" s="1"/>
  <c r="H150" i="1"/>
  <c r="G150" i="1"/>
  <c r="F150" i="1"/>
  <c r="I150" i="1" s="1"/>
  <c r="J150" i="1" s="1"/>
  <c r="E150" i="1"/>
  <c r="AL149" i="1"/>
  <c r="AJ149" i="1"/>
  <c r="AB149" i="1"/>
  <c r="AA149" i="1"/>
  <c r="Z149" i="1"/>
  <c r="AC149" i="1" s="1"/>
  <c r="AD149" i="1" s="1"/>
  <c r="Y149" i="1"/>
  <c r="S149" i="1"/>
  <c r="T149" i="1" s="1"/>
  <c r="P149" i="1"/>
  <c r="O149" i="1"/>
  <c r="H149" i="1"/>
  <c r="G149" i="1"/>
  <c r="F149" i="1"/>
  <c r="I149" i="1" s="1"/>
  <c r="J149" i="1" s="1"/>
  <c r="E149" i="1"/>
  <c r="AL148" i="1"/>
  <c r="AJ148" i="1"/>
  <c r="AB148" i="1"/>
  <c r="AA148" i="1"/>
  <c r="Z148" i="1"/>
  <c r="AC148" i="1" s="1"/>
  <c r="AD148" i="1" s="1"/>
  <c r="Y148" i="1"/>
  <c r="O148" i="1"/>
  <c r="P148" i="1" s="1"/>
  <c r="H148" i="1"/>
  <c r="G148" i="1"/>
  <c r="F148" i="1"/>
  <c r="I148" i="1" s="1"/>
  <c r="J148" i="1" s="1"/>
  <c r="E148" i="1"/>
  <c r="AL147" i="1"/>
  <c r="AJ147" i="1"/>
  <c r="AB147" i="1"/>
  <c r="AA147" i="1"/>
  <c r="Z147" i="1"/>
  <c r="AC147" i="1" s="1"/>
  <c r="AD147" i="1" s="1"/>
  <c r="Y147" i="1"/>
  <c r="S147" i="1"/>
  <c r="T147" i="1" s="1"/>
  <c r="P147" i="1"/>
  <c r="O147" i="1"/>
  <c r="H147" i="1"/>
  <c r="G147" i="1"/>
  <c r="F147" i="1"/>
  <c r="I147" i="1" s="1"/>
  <c r="J147" i="1" s="1"/>
  <c r="E147" i="1"/>
  <c r="AL146" i="1"/>
  <c r="AJ146" i="1"/>
  <c r="AB146" i="1"/>
  <c r="AA146" i="1"/>
  <c r="Z146" i="1"/>
  <c r="AC146" i="1" s="1"/>
  <c r="AD146" i="1" s="1"/>
  <c r="Y146" i="1"/>
  <c r="O146" i="1"/>
  <c r="P146" i="1" s="1"/>
  <c r="H146" i="1"/>
  <c r="G146" i="1"/>
  <c r="F146" i="1"/>
  <c r="I146" i="1" s="1"/>
  <c r="J146" i="1" s="1"/>
  <c r="E146" i="1"/>
  <c r="AL145" i="1"/>
  <c r="AJ145" i="1"/>
  <c r="AB145" i="1"/>
  <c r="AA145" i="1"/>
  <c r="Z145" i="1"/>
  <c r="AC145" i="1" s="1"/>
  <c r="AD145" i="1" s="1"/>
  <c r="Y145" i="1"/>
  <c r="S145" i="1"/>
  <c r="T145" i="1" s="1"/>
  <c r="P145" i="1"/>
  <c r="O145" i="1"/>
  <c r="H145" i="1"/>
  <c r="G145" i="1"/>
  <c r="F145" i="1"/>
  <c r="I145" i="1" s="1"/>
  <c r="J145" i="1" s="1"/>
  <c r="E145" i="1"/>
  <c r="AL144" i="1"/>
  <c r="AJ144" i="1"/>
  <c r="AB144" i="1"/>
  <c r="AA144" i="1"/>
  <c r="Z144" i="1"/>
  <c r="AC144" i="1" s="1"/>
  <c r="AD144" i="1" s="1"/>
  <c r="Y144" i="1"/>
  <c r="O144" i="1"/>
  <c r="P144" i="1" s="1"/>
  <c r="H144" i="1"/>
  <c r="G144" i="1"/>
  <c r="F144" i="1"/>
  <c r="I144" i="1" s="1"/>
  <c r="J144" i="1" s="1"/>
  <c r="E144" i="1"/>
  <c r="AL143" i="1"/>
  <c r="AJ143" i="1"/>
  <c r="AB143" i="1"/>
  <c r="AA143" i="1"/>
  <c r="Z143" i="1"/>
  <c r="AC143" i="1" s="1"/>
  <c r="AD143" i="1" s="1"/>
  <c r="Y143" i="1"/>
  <c r="S143" i="1"/>
  <c r="T143" i="1" s="1"/>
  <c r="P143" i="1"/>
  <c r="O143" i="1"/>
  <c r="H143" i="1"/>
  <c r="G143" i="1"/>
  <c r="F143" i="1"/>
  <c r="I143" i="1" s="1"/>
  <c r="J143" i="1" s="1"/>
  <c r="E143" i="1"/>
  <c r="AL142" i="1"/>
  <c r="AJ142" i="1"/>
  <c r="AB142" i="1"/>
  <c r="AA142" i="1"/>
  <c r="Z142" i="1"/>
  <c r="AC142" i="1" s="1"/>
  <c r="AD142" i="1" s="1"/>
  <c r="Y142" i="1"/>
  <c r="O142" i="1"/>
  <c r="P142" i="1" s="1"/>
  <c r="H142" i="1"/>
  <c r="G142" i="1"/>
  <c r="F142" i="1"/>
  <c r="I142" i="1" s="1"/>
  <c r="J142" i="1" s="1"/>
  <c r="E142" i="1"/>
  <c r="AL141" i="1"/>
  <c r="AJ141" i="1"/>
  <c r="AB141" i="1"/>
  <c r="AA141" i="1"/>
  <c r="Z141" i="1"/>
  <c r="AC141" i="1" s="1"/>
  <c r="AD141" i="1" s="1"/>
  <c r="Y141" i="1"/>
  <c r="S141" i="1"/>
  <c r="T141" i="1" s="1"/>
  <c r="P141" i="1"/>
  <c r="O141" i="1"/>
  <c r="H141" i="1"/>
  <c r="G141" i="1"/>
  <c r="F141" i="1"/>
  <c r="I141" i="1" s="1"/>
  <c r="J141" i="1" s="1"/>
  <c r="E141" i="1"/>
  <c r="AL140" i="1"/>
  <c r="AJ140" i="1"/>
  <c r="AB140" i="1"/>
  <c r="AA140" i="1"/>
  <c r="Z140" i="1"/>
  <c r="AC140" i="1" s="1"/>
  <c r="AD140" i="1" s="1"/>
  <c r="Y140" i="1"/>
  <c r="O140" i="1"/>
  <c r="P140" i="1" s="1"/>
  <c r="H140" i="1"/>
  <c r="G140" i="1"/>
  <c r="F140" i="1"/>
  <c r="I140" i="1" s="1"/>
  <c r="J140" i="1" s="1"/>
  <c r="E140" i="1"/>
  <c r="AL139" i="1"/>
  <c r="AJ139" i="1"/>
  <c r="AB139" i="1"/>
  <c r="AA139" i="1"/>
  <c r="Z139" i="1"/>
  <c r="AC139" i="1" s="1"/>
  <c r="AD139" i="1" s="1"/>
  <c r="Y139" i="1"/>
  <c r="S139" i="1"/>
  <c r="T139" i="1" s="1"/>
  <c r="P139" i="1"/>
  <c r="O139" i="1"/>
  <c r="H139" i="1"/>
  <c r="G139" i="1"/>
  <c r="F139" i="1"/>
  <c r="I139" i="1" s="1"/>
  <c r="J139" i="1" s="1"/>
  <c r="E139" i="1"/>
  <c r="AL138" i="1"/>
  <c r="AJ138" i="1"/>
  <c r="AB138" i="1"/>
  <c r="AA138" i="1"/>
  <c r="Z138" i="1"/>
  <c r="Y138" i="1"/>
  <c r="O138" i="1"/>
  <c r="H138" i="1"/>
  <c r="G138" i="1"/>
  <c r="F138" i="1"/>
  <c r="I138" i="1" s="1"/>
  <c r="J138" i="1" s="1"/>
  <c r="E138" i="1"/>
  <c r="AL137" i="1"/>
  <c r="AJ137" i="1"/>
  <c r="R137" i="1"/>
  <c r="Q137" i="1"/>
  <c r="P137" i="1"/>
  <c r="O137" i="1"/>
  <c r="I137" i="1"/>
  <c r="J137" i="1" s="1"/>
  <c r="F137" i="1"/>
  <c r="E137" i="1"/>
  <c r="AJ136" i="1"/>
  <c r="E136" i="1"/>
  <c r="AJ13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I111" i="1"/>
  <c r="J111" i="1" s="1"/>
  <c r="G111" i="1"/>
  <c r="F111" i="1"/>
  <c r="H111" i="1" s="1"/>
  <c r="E111" i="1"/>
  <c r="I110" i="1"/>
  <c r="J110" i="1" s="1"/>
  <c r="H110" i="1"/>
  <c r="G110" i="1"/>
  <c r="E110" i="1"/>
  <c r="F110" i="1" s="1"/>
  <c r="I109" i="1"/>
  <c r="J109" i="1" s="1"/>
  <c r="E109" i="1"/>
  <c r="F109" i="1" s="1"/>
  <c r="I108" i="1"/>
  <c r="J108" i="1" s="1"/>
  <c r="E108" i="1"/>
  <c r="F108" i="1" s="1"/>
  <c r="H108" i="1" s="1"/>
  <c r="E107" i="1"/>
  <c r="F107" i="1" s="1"/>
  <c r="E106" i="1"/>
  <c r="F106" i="1" s="1"/>
  <c r="F105" i="1"/>
  <c r="E105" i="1"/>
  <c r="H104" i="1"/>
  <c r="E104" i="1"/>
  <c r="F104" i="1" s="1"/>
  <c r="F103" i="1"/>
  <c r="E103" i="1"/>
  <c r="E102" i="1"/>
  <c r="F102" i="1" s="1"/>
  <c r="H102" i="1" s="1"/>
  <c r="F101" i="1"/>
  <c r="E101" i="1"/>
  <c r="H100" i="1"/>
  <c r="E100" i="1"/>
  <c r="F100" i="1" s="1"/>
  <c r="F99" i="1"/>
  <c r="E99" i="1"/>
  <c r="H98" i="1"/>
  <c r="E98" i="1"/>
  <c r="F98" i="1" s="1"/>
  <c r="F97" i="1"/>
  <c r="E97" i="1"/>
  <c r="H96" i="1"/>
  <c r="E96" i="1"/>
  <c r="F96" i="1" s="1"/>
  <c r="F95" i="1"/>
  <c r="E95" i="1"/>
  <c r="E94" i="1"/>
  <c r="F94" i="1" s="1"/>
  <c r="F93" i="1"/>
  <c r="E93" i="1"/>
  <c r="H92" i="1"/>
  <c r="E92" i="1"/>
  <c r="F92" i="1" s="1"/>
  <c r="F91" i="1"/>
  <c r="E91" i="1"/>
  <c r="H90" i="1"/>
  <c r="E90" i="1"/>
  <c r="F90" i="1" s="1"/>
  <c r="F89" i="1"/>
  <c r="E89" i="1"/>
  <c r="H88" i="1"/>
  <c r="E88" i="1"/>
  <c r="F88" i="1" s="1"/>
  <c r="F87" i="1"/>
  <c r="E87" i="1"/>
  <c r="E86" i="1"/>
  <c r="F86" i="1" s="1"/>
  <c r="F85" i="1"/>
  <c r="E85" i="1"/>
  <c r="H84" i="1"/>
  <c r="E84" i="1"/>
  <c r="F84" i="1" s="1"/>
  <c r="F83" i="1"/>
  <c r="E83" i="1"/>
  <c r="H82" i="1"/>
  <c r="E82" i="1"/>
  <c r="F82" i="1" s="1"/>
  <c r="F81" i="1"/>
  <c r="E81" i="1"/>
  <c r="H80" i="1"/>
  <c r="E80" i="1"/>
  <c r="F80" i="1" s="1"/>
  <c r="F79" i="1"/>
  <c r="E79" i="1"/>
  <c r="E78" i="1"/>
  <c r="F78" i="1" s="1"/>
  <c r="H78" i="1" s="1"/>
  <c r="F77" i="1"/>
  <c r="E77" i="1"/>
  <c r="I76" i="1"/>
  <c r="J76" i="1" s="1"/>
  <c r="H76" i="1"/>
  <c r="G76" i="1"/>
  <c r="F69" i="1"/>
  <c r="F68" i="1"/>
  <c r="F67" i="1"/>
  <c r="I52" i="1"/>
  <c r="J52" i="1" s="1"/>
  <c r="H52" i="1"/>
  <c r="G52" i="1"/>
  <c r="F52" i="1"/>
  <c r="I51" i="1"/>
  <c r="J51" i="1" s="1"/>
  <c r="F51" i="1"/>
  <c r="H51" i="1" s="1"/>
  <c r="F50" i="1"/>
  <c r="H49" i="1"/>
  <c r="G49" i="1"/>
  <c r="F49" i="1"/>
  <c r="I49" i="1" s="1"/>
  <c r="J49" i="1" s="1"/>
  <c r="I48" i="1"/>
  <c r="J48" i="1" s="1"/>
  <c r="H48" i="1"/>
  <c r="G48" i="1"/>
  <c r="F48" i="1"/>
  <c r="I47" i="1"/>
  <c r="J47" i="1" s="1"/>
  <c r="F47" i="1"/>
  <c r="H47" i="1" s="1"/>
  <c r="F46" i="1"/>
  <c r="H45" i="1"/>
  <c r="G45" i="1"/>
  <c r="F45" i="1"/>
  <c r="I45" i="1" s="1"/>
  <c r="J45" i="1" s="1"/>
  <c r="I44" i="1"/>
  <c r="J44" i="1" s="1"/>
  <c r="H44" i="1"/>
  <c r="G44" i="1"/>
  <c r="F44" i="1"/>
  <c r="I43" i="1"/>
  <c r="J43" i="1" s="1"/>
  <c r="F43" i="1"/>
  <c r="H43" i="1" s="1"/>
  <c r="F42" i="1"/>
  <c r="H41" i="1"/>
  <c r="G41" i="1"/>
  <c r="F41" i="1"/>
  <c r="I41" i="1" s="1"/>
  <c r="J41" i="1" s="1"/>
  <c r="I40" i="1"/>
  <c r="J40" i="1" s="1"/>
  <c r="H40" i="1"/>
  <c r="G40" i="1"/>
  <c r="F40" i="1"/>
  <c r="I39" i="1"/>
  <c r="J39" i="1" s="1"/>
  <c r="F39" i="1"/>
  <c r="H39" i="1" s="1"/>
  <c r="F38" i="1"/>
  <c r="H37" i="1"/>
  <c r="G37" i="1"/>
  <c r="F37" i="1"/>
  <c r="I37" i="1" s="1"/>
  <c r="J37" i="1" s="1"/>
  <c r="I36" i="1"/>
  <c r="J36" i="1" s="1"/>
  <c r="H36" i="1"/>
  <c r="G36" i="1"/>
  <c r="F36" i="1"/>
  <c r="I35" i="1"/>
  <c r="J35" i="1" s="1"/>
  <c r="F35" i="1"/>
  <c r="H35" i="1" s="1"/>
  <c r="F34" i="1"/>
  <c r="H33" i="1"/>
  <c r="G33" i="1"/>
  <c r="F33" i="1"/>
  <c r="I33" i="1" s="1"/>
  <c r="J33" i="1" s="1"/>
  <c r="I32" i="1"/>
  <c r="J32" i="1" s="1"/>
  <c r="H32" i="1"/>
  <c r="G32" i="1"/>
  <c r="F32" i="1"/>
  <c r="I31" i="1"/>
  <c r="J31" i="1" s="1"/>
  <c r="F31" i="1"/>
  <c r="H31" i="1" s="1"/>
  <c r="F30" i="1"/>
  <c r="H29" i="1"/>
  <c r="G29" i="1"/>
  <c r="F29" i="1"/>
  <c r="I29" i="1" s="1"/>
  <c r="J29" i="1" s="1"/>
  <c r="I28" i="1"/>
  <c r="J28" i="1" s="1"/>
  <c r="H28" i="1"/>
  <c r="G28" i="1"/>
  <c r="F28" i="1"/>
  <c r="I27" i="1"/>
  <c r="J27" i="1" s="1"/>
  <c r="F27" i="1"/>
  <c r="H27" i="1" s="1"/>
  <c r="F26" i="1"/>
  <c r="H25" i="1"/>
  <c r="G25" i="1"/>
  <c r="F25" i="1"/>
  <c r="I25" i="1" s="1"/>
  <c r="J25" i="1" s="1"/>
  <c r="I24" i="1"/>
  <c r="J24" i="1" s="1"/>
  <c r="H24" i="1"/>
  <c r="G24" i="1"/>
  <c r="F24" i="1"/>
  <c r="I23" i="1"/>
  <c r="J23" i="1" s="1"/>
  <c r="F23" i="1"/>
  <c r="H23" i="1" s="1"/>
  <c r="F22" i="1"/>
  <c r="H21" i="1"/>
  <c r="G21" i="1"/>
  <c r="F21" i="1"/>
  <c r="I21" i="1" s="1"/>
  <c r="J21" i="1" s="1"/>
  <c r="I20" i="1"/>
  <c r="J20" i="1" s="1"/>
  <c r="H20" i="1"/>
  <c r="G20" i="1"/>
  <c r="F20" i="1"/>
  <c r="I19" i="1"/>
  <c r="J19" i="1" s="1"/>
  <c r="F19" i="1"/>
  <c r="H19" i="1" s="1"/>
  <c r="F18" i="1"/>
  <c r="AM211" i="1" l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G86" i="1"/>
  <c r="I86" i="1"/>
  <c r="J86" i="1" s="1"/>
  <c r="G94" i="1"/>
  <c r="I94" i="1"/>
  <c r="J94" i="1" s="1"/>
  <c r="R157" i="1"/>
  <c r="Q157" i="1"/>
  <c r="R158" i="1"/>
  <c r="Q158" i="1"/>
  <c r="S158" i="1"/>
  <c r="T158" i="1" s="1"/>
  <c r="I22" i="1"/>
  <c r="J22" i="1" s="1"/>
  <c r="H22" i="1"/>
  <c r="G22" i="1"/>
  <c r="I38" i="1"/>
  <c r="J38" i="1" s="1"/>
  <c r="H38" i="1"/>
  <c r="G38" i="1"/>
  <c r="G80" i="1"/>
  <c r="I80" i="1"/>
  <c r="J80" i="1" s="1"/>
  <c r="I83" i="1"/>
  <c r="J83" i="1" s="1"/>
  <c r="H83" i="1"/>
  <c r="G83" i="1"/>
  <c r="H86" i="1"/>
  <c r="G88" i="1"/>
  <c r="I88" i="1"/>
  <c r="J88" i="1" s="1"/>
  <c r="I91" i="1"/>
  <c r="J91" i="1" s="1"/>
  <c r="G91" i="1"/>
  <c r="H91" i="1"/>
  <c r="H94" i="1"/>
  <c r="G96" i="1"/>
  <c r="I96" i="1"/>
  <c r="J96" i="1" s="1"/>
  <c r="I99" i="1"/>
  <c r="J99" i="1" s="1"/>
  <c r="H99" i="1"/>
  <c r="G99" i="1"/>
  <c r="G104" i="1"/>
  <c r="I104" i="1"/>
  <c r="J104" i="1" s="1"/>
  <c r="I106" i="1"/>
  <c r="J106" i="1" s="1"/>
  <c r="H106" i="1"/>
  <c r="G106" i="1"/>
  <c r="R155" i="1"/>
  <c r="Q155" i="1"/>
  <c r="R156" i="1"/>
  <c r="Q156" i="1"/>
  <c r="S156" i="1"/>
  <c r="T156" i="1" s="1"/>
  <c r="S157" i="1"/>
  <c r="T157" i="1" s="1"/>
  <c r="AA160" i="1"/>
  <c r="AA170" i="1" s="1"/>
  <c r="AC160" i="1"/>
  <c r="AD160" i="1" s="1"/>
  <c r="AB160" i="1"/>
  <c r="AB170" i="1" s="1"/>
  <c r="S162" i="1"/>
  <c r="T162" i="1" s="1"/>
  <c r="R162" i="1"/>
  <c r="Q162" i="1"/>
  <c r="G167" i="1"/>
  <c r="I167" i="1"/>
  <c r="J167" i="1" s="1"/>
  <c r="H167" i="1"/>
  <c r="G78" i="1"/>
  <c r="I78" i="1"/>
  <c r="J78" i="1" s="1"/>
  <c r="I81" i="1"/>
  <c r="J81" i="1" s="1"/>
  <c r="H81" i="1"/>
  <c r="G81" i="1"/>
  <c r="G102" i="1"/>
  <c r="I102" i="1"/>
  <c r="J102" i="1" s="1"/>
  <c r="F53" i="1"/>
  <c r="I18" i="1"/>
  <c r="H18" i="1"/>
  <c r="G18" i="1"/>
  <c r="I34" i="1"/>
  <c r="J34" i="1" s="1"/>
  <c r="H34" i="1"/>
  <c r="G34" i="1"/>
  <c r="I50" i="1"/>
  <c r="J50" i="1" s="1"/>
  <c r="G50" i="1"/>
  <c r="H50" i="1"/>
  <c r="F112" i="1"/>
  <c r="I77" i="1"/>
  <c r="J77" i="1" s="1"/>
  <c r="H77" i="1"/>
  <c r="G77" i="1"/>
  <c r="G82" i="1"/>
  <c r="I82" i="1"/>
  <c r="J82" i="1" s="1"/>
  <c r="I85" i="1"/>
  <c r="J85" i="1" s="1"/>
  <c r="G85" i="1"/>
  <c r="H85" i="1"/>
  <c r="G90" i="1"/>
  <c r="I90" i="1"/>
  <c r="J90" i="1" s="1"/>
  <c r="I93" i="1"/>
  <c r="J93" i="1" s="1"/>
  <c r="G93" i="1"/>
  <c r="H93" i="1"/>
  <c r="G98" i="1"/>
  <c r="I98" i="1"/>
  <c r="J98" i="1" s="1"/>
  <c r="I101" i="1"/>
  <c r="J101" i="1" s="1"/>
  <c r="H101" i="1"/>
  <c r="G101" i="1"/>
  <c r="H107" i="1"/>
  <c r="I107" i="1"/>
  <c r="J107" i="1" s="1"/>
  <c r="G107" i="1"/>
  <c r="H109" i="1"/>
  <c r="G109" i="1"/>
  <c r="R153" i="1"/>
  <c r="Q153" i="1"/>
  <c r="R154" i="1"/>
  <c r="Q154" i="1"/>
  <c r="S154" i="1"/>
  <c r="T154" i="1" s="1"/>
  <c r="S155" i="1"/>
  <c r="T155" i="1" s="1"/>
  <c r="AA165" i="1"/>
  <c r="AC165" i="1"/>
  <c r="AD165" i="1" s="1"/>
  <c r="AB165" i="1"/>
  <c r="AA209" i="1"/>
  <c r="AB209" i="1"/>
  <c r="AC209" i="1"/>
  <c r="AD209" i="1" s="1"/>
  <c r="I26" i="1"/>
  <c r="J26" i="1" s="1"/>
  <c r="H26" i="1"/>
  <c r="G26" i="1"/>
  <c r="I42" i="1"/>
  <c r="J42" i="1" s="1"/>
  <c r="H42" i="1"/>
  <c r="G42" i="1"/>
  <c r="I89" i="1"/>
  <c r="J89" i="1" s="1"/>
  <c r="H89" i="1"/>
  <c r="G89" i="1"/>
  <c r="I97" i="1"/>
  <c r="J97" i="1" s="1"/>
  <c r="H97" i="1"/>
  <c r="G97" i="1"/>
  <c r="H105" i="1"/>
  <c r="I105" i="1"/>
  <c r="J105" i="1" s="1"/>
  <c r="G105" i="1"/>
  <c r="I30" i="1"/>
  <c r="J30" i="1" s="1"/>
  <c r="H30" i="1"/>
  <c r="G30" i="1"/>
  <c r="I46" i="1"/>
  <c r="J46" i="1" s="1"/>
  <c r="G46" i="1"/>
  <c r="H46" i="1"/>
  <c r="I79" i="1"/>
  <c r="J79" i="1" s="1"/>
  <c r="J112" i="1" s="1"/>
  <c r="D129" i="1" s="1"/>
  <c r="F129" i="1" s="1"/>
  <c r="G79" i="1"/>
  <c r="H79" i="1"/>
  <c r="G84" i="1"/>
  <c r="I84" i="1"/>
  <c r="J84" i="1" s="1"/>
  <c r="I87" i="1"/>
  <c r="J87" i="1" s="1"/>
  <c r="H87" i="1"/>
  <c r="G87" i="1"/>
  <c r="G92" i="1"/>
  <c r="I92" i="1"/>
  <c r="J92" i="1" s="1"/>
  <c r="I95" i="1"/>
  <c r="J95" i="1" s="1"/>
  <c r="H95" i="1"/>
  <c r="G95" i="1"/>
  <c r="G100" i="1"/>
  <c r="I100" i="1"/>
  <c r="J100" i="1" s="1"/>
  <c r="I103" i="1"/>
  <c r="J103" i="1" s="1"/>
  <c r="H103" i="1"/>
  <c r="G103" i="1"/>
  <c r="O170" i="1"/>
  <c r="P138" i="1"/>
  <c r="P170" i="1" s="1"/>
  <c r="R140" i="1"/>
  <c r="Q140" i="1"/>
  <c r="S140" i="1"/>
  <c r="T140" i="1" s="1"/>
  <c r="R142" i="1"/>
  <c r="Q142" i="1"/>
  <c r="S142" i="1"/>
  <c r="T142" i="1" s="1"/>
  <c r="R144" i="1"/>
  <c r="Q144" i="1"/>
  <c r="S144" i="1"/>
  <c r="T144" i="1" s="1"/>
  <c r="R146" i="1"/>
  <c r="Q146" i="1"/>
  <c r="S146" i="1"/>
  <c r="T146" i="1" s="1"/>
  <c r="R148" i="1"/>
  <c r="Q148" i="1"/>
  <c r="S148" i="1"/>
  <c r="T148" i="1" s="1"/>
  <c r="R150" i="1"/>
  <c r="Q150" i="1"/>
  <c r="S150" i="1"/>
  <c r="T150" i="1" s="1"/>
  <c r="R152" i="1"/>
  <c r="Q152" i="1"/>
  <c r="S152" i="1"/>
  <c r="T152" i="1" s="1"/>
  <c r="R159" i="1"/>
  <c r="Q159" i="1"/>
  <c r="G160" i="1"/>
  <c r="H160" i="1"/>
  <c r="I160" i="1"/>
  <c r="J160" i="1" s="1"/>
  <c r="AA161" i="1"/>
  <c r="AC161" i="1"/>
  <c r="AD161" i="1" s="1"/>
  <c r="AB161" i="1"/>
  <c r="G163" i="1"/>
  <c r="I163" i="1"/>
  <c r="J163" i="1" s="1"/>
  <c r="H163" i="1"/>
  <c r="AA169" i="1"/>
  <c r="AC169" i="1"/>
  <c r="AD169" i="1" s="1"/>
  <c r="AB169" i="1"/>
  <c r="I112" i="1"/>
  <c r="Z170" i="1"/>
  <c r="S161" i="1"/>
  <c r="T161" i="1" s="1"/>
  <c r="R161" i="1"/>
  <c r="G162" i="1"/>
  <c r="I162" i="1"/>
  <c r="J162" i="1" s="1"/>
  <c r="G164" i="1"/>
  <c r="H164" i="1"/>
  <c r="AA164" i="1"/>
  <c r="AC164" i="1"/>
  <c r="AD164" i="1" s="1"/>
  <c r="S166" i="1"/>
  <c r="T166" i="1" s="1"/>
  <c r="R166" i="1"/>
  <c r="Q166" i="1"/>
  <c r="S209" i="1"/>
  <c r="T209" i="1" s="1"/>
  <c r="R209" i="1"/>
  <c r="G19" i="1"/>
  <c r="G23" i="1"/>
  <c r="G27" i="1"/>
  <c r="G31" i="1"/>
  <c r="G35" i="1"/>
  <c r="G39" i="1"/>
  <c r="G43" i="1"/>
  <c r="G47" i="1"/>
  <c r="G51" i="1"/>
  <c r="G108" i="1"/>
  <c r="E170" i="1"/>
  <c r="F136" i="1"/>
  <c r="Q161" i="1"/>
  <c r="H162" i="1"/>
  <c r="AA162" i="1"/>
  <c r="AB162" i="1"/>
  <c r="I164" i="1"/>
  <c r="J164" i="1" s="1"/>
  <c r="AB164" i="1"/>
  <c r="S165" i="1"/>
  <c r="T165" i="1" s="1"/>
  <c r="R165" i="1"/>
  <c r="G166" i="1"/>
  <c r="I166" i="1"/>
  <c r="J166" i="1" s="1"/>
  <c r="G168" i="1"/>
  <c r="H168" i="1"/>
  <c r="AA168" i="1"/>
  <c r="AC168" i="1"/>
  <c r="AD168" i="1" s="1"/>
  <c r="S169" i="1"/>
  <c r="T169" i="1" s="1"/>
  <c r="R169" i="1"/>
  <c r="G209" i="1"/>
  <c r="I209" i="1"/>
  <c r="J209" i="1" s="1"/>
  <c r="Q209" i="1"/>
  <c r="G112" i="1"/>
  <c r="D127" i="1" s="1"/>
  <c r="F127" i="1" s="1"/>
  <c r="H137" i="1"/>
  <c r="G137" i="1"/>
  <c r="R139" i="1"/>
  <c r="Q139" i="1"/>
  <c r="R141" i="1"/>
  <c r="Q141" i="1"/>
  <c r="R143" i="1"/>
  <c r="Q143" i="1"/>
  <c r="R145" i="1"/>
  <c r="Q145" i="1"/>
  <c r="R147" i="1"/>
  <c r="Q147" i="1"/>
  <c r="R149" i="1"/>
  <c r="Q149" i="1"/>
  <c r="R151" i="1"/>
  <c r="Q151" i="1"/>
  <c r="AC162" i="1"/>
  <c r="AD162" i="1" s="1"/>
  <c r="Q165" i="1"/>
  <c r="H166" i="1"/>
  <c r="AA166" i="1"/>
  <c r="AB166" i="1"/>
  <c r="I168" i="1"/>
  <c r="J168" i="1" s="1"/>
  <c r="AB168" i="1"/>
  <c r="H169" i="1"/>
  <c r="Q169" i="1"/>
  <c r="H209" i="1"/>
  <c r="Y211" i="1"/>
  <c r="Z210" i="1"/>
  <c r="S137" i="1"/>
  <c r="Y170" i="1"/>
  <c r="AC138" i="1"/>
  <c r="T208" i="1"/>
  <c r="O211" i="1"/>
  <c r="AC208" i="1"/>
  <c r="E210" i="1"/>
  <c r="E211" i="1" l="1"/>
  <c r="F210" i="1"/>
  <c r="AB210" i="1"/>
  <c r="AC210" i="1"/>
  <c r="AD210" i="1" s="1"/>
  <c r="AA210" i="1"/>
  <c r="G53" i="1"/>
  <c r="T137" i="1"/>
  <c r="AD208" i="1"/>
  <c r="AC170" i="1"/>
  <c r="AD138" i="1"/>
  <c r="AD170" i="1" s="1"/>
  <c r="Z211" i="1"/>
  <c r="Y212" i="1"/>
  <c r="G136" i="1"/>
  <c r="G170" i="1" s="1"/>
  <c r="F170" i="1"/>
  <c r="H136" i="1"/>
  <c r="H170" i="1" s="1"/>
  <c r="I136" i="1"/>
  <c r="H53" i="1"/>
  <c r="R138" i="1"/>
  <c r="R170" i="1" s="1"/>
  <c r="Q138" i="1"/>
  <c r="Q170" i="1" s="1"/>
  <c r="S138" i="1"/>
  <c r="T138" i="1" s="1"/>
  <c r="H112" i="1"/>
  <c r="D128" i="1" s="1"/>
  <c r="F128" i="1" s="1"/>
  <c r="P211" i="1"/>
  <c r="O212" i="1"/>
  <c r="I53" i="1"/>
  <c r="J18" i="1"/>
  <c r="J53" i="1" s="1"/>
  <c r="Z212" i="1" l="1"/>
  <c r="Y213" i="1"/>
  <c r="O213" i="1"/>
  <c r="P212" i="1"/>
  <c r="S170" i="1"/>
  <c r="F211" i="1"/>
  <c r="E212" i="1"/>
  <c r="I170" i="1"/>
  <c r="J136" i="1"/>
  <c r="J170" i="1" s="1"/>
  <c r="AC211" i="1"/>
  <c r="AB211" i="1"/>
  <c r="AA211" i="1"/>
  <c r="H210" i="1"/>
  <c r="I210" i="1"/>
  <c r="G210" i="1"/>
  <c r="Q211" i="1"/>
  <c r="R211" i="1"/>
  <c r="S211" i="1"/>
  <c r="T170" i="1"/>
  <c r="AD211" i="1" l="1"/>
  <c r="F212" i="1"/>
  <c r="E213" i="1"/>
  <c r="R212" i="1"/>
  <c r="S212" i="1"/>
  <c r="T212" i="1" s="1"/>
  <c r="Q212" i="1"/>
  <c r="AB212" i="1"/>
  <c r="AC212" i="1"/>
  <c r="AD212" i="1" s="1"/>
  <c r="AA212" i="1"/>
  <c r="T211" i="1"/>
  <c r="J210" i="1"/>
  <c r="Y214" i="1"/>
  <c r="Z213" i="1"/>
  <c r="I211" i="1"/>
  <c r="J211" i="1" s="1"/>
  <c r="G211" i="1"/>
  <c r="H211" i="1"/>
  <c r="P213" i="1"/>
  <c r="O214" i="1"/>
  <c r="P214" i="1" l="1"/>
  <c r="O215" i="1"/>
  <c r="AA213" i="1"/>
  <c r="AC213" i="1"/>
  <c r="AD213" i="1" s="1"/>
  <c r="AB213" i="1"/>
  <c r="I212" i="1"/>
  <c r="J212" i="1" s="1"/>
  <c r="H212" i="1"/>
  <c r="G212" i="1"/>
  <c r="S213" i="1"/>
  <c r="T213" i="1" s="1"/>
  <c r="Q213" i="1"/>
  <c r="R213" i="1"/>
  <c r="Y215" i="1"/>
  <c r="Z214" i="1"/>
  <c r="F213" i="1"/>
  <c r="E214" i="1"/>
  <c r="P215" i="1" l="1"/>
  <c r="O216" i="1"/>
  <c r="AB214" i="1"/>
  <c r="AA214" i="1"/>
  <c r="AC214" i="1"/>
  <c r="Y216" i="1"/>
  <c r="Z215" i="1"/>
  <c r="E215" i="1"/>
  <c r="F214" i="1"/>
  <c r="G213" i="1"/>
  <c r="I213" i="1"/>
  <c r="H213" i="1"/>
  <c r="R214" i="1"/>
  <c r="Q214" i="1"/>
  <c r="S214" i="1"/>
  <c r="T214" i="1" l="1"/>
  <c r="O217" i="1"/>
  <c r="P216" i="1"/>
  <c r="AD214" i="1"/>
  <c r="J213" i="1"/>
  <c r="Z216" i="1"/>
  <c r="Y217" i="1"/>
  <c r="H214" i="1"/>
  <c r="I214" i="1"/>
  <c r="J214" i="1" s="1"/>
  <c r="G214" i="1"/>
  <c r="Q215" i="1"/>
  <c r="S215" i="1"/>
  <c r="T215" i="1" s="1"/>
  <c r="R215" i="1"/>
  <c r="F215" i="1"/>
  <c r="E216" i="1"/>
  <c r="AC215" i="1"/>
  <c r="AD215" i="1" s="1"/>
  <c r="AB215" i="1"/>
  <c r="AA215" i="1"/>
  <c r="R216" i="1" l="1"/>
  <c r="Q216" i="1"/>
  <c r="S216" i="1"/>
  <c r="T216" i="1" s="1"/>
  <c r="I215" i="1"/>
  <c r="J215" i="1" s="1"/>
  <c r="G215" i="1"/>
  <c r="H215" i="1"/>
  <c r="AA216" i="1"/>
  <c r="AB216" i="1"/>
  <c r="AC216" i="1"/>
  <c r="F216" i="1"/>
  <c r="E217" i="1"/>
  <c r="Y218" i="1"/>
  <c r="Z217" i="1"/>
  <c r="O218" i="1"/>
  <c r="P217" i="1"/>
  <c r="S217" i="1" l="1"/>
  <c r="T217" i="1" s="1"/>
  <c r="R217" i="1"/>
  <c r="Q217" i="1"/>
  <c r="AD216" i="1"/>
  <c r="AA217" i="1"/>
  <c r="AC217" i="1"/>
  <c r="AD217" i="1" s="1"/>
  <c r="AB217" i="1"/>
  <c r="Y219" i="1"/>
  <c r="Z218" i="1"/>
  <c r="E218" i="1"/>
  <c r="F217" i="1"/>
  <c r="P218" i="1"/>
  <c r="O219" i="1"/>
  <c r="H216" i="1"/>
  <c r="G216" i="1"/>
  <c r="I216" i="1"/>
  <c r="J216" i="1" s="1"/>
  <c r="G217" i="1" l="1"/>
  <c r="I217" i="1"/>
  <c r="J217" i="1" s="1"/>
  <c r="H217" i="1"/>
  <c r="E219" i="1"/>
  <c r="F218" i="1"/>
  <c r="O220" i="1"/>
  <c r="P219" i="1"/>
  <c r="AB218" i="1"/>
  <c r="AC218" i="1"/>
  <c r="AD218" i="1" s="1"/>
  <c r="AA218" i="1"/>
  <c r="Q218" i="1"/>
  <c r="R218" i="1"/>
  <c r="S218" i="1"/>
  <c r="T218" i="1" s="1"/>
  <c r="Y220" i="1"/>
  <c r="Z219" i="1"/>
  <c r="E220" i="1" l="1"/>
  <c r="F219" i="1"/>
  <c r="Q219" i="1"/>
  <c r="S219" i="1"/>
  <c r="T219" i="1" s="1"/>
  <c r="R219" i="1"/>
  <c r="O221" i="1"/>
  <c r="P220" i="1"/>
  <c r="AC219" i="1"/>
  <c r="AD219" i="1" s="1"/>
  <c r="AB219" i="1"/>
  <c r="AA219" i="1"/>
  <c r="Z220" i="1"/>
  <c r="Y221" i="1"/>
  <c r="H218" i="1"/>
  <c r="G218" i="1"/>
  <c r="I218" i="1"/>
  <c r="J218" i="1" s="1"/>
  <c r="Y222" i="1" l="1"/>
  <c r="Z221" i="1"/>
  <c r="R220" i="1"/>
  <c r="S220" i="1"/>
  <c r="T220" i="1" s="1"/>
  <c r="Q220" i="1"/>
  <c r="O222" i="1"/>
  <c r="P221" i="1"/>
  <c r="I219" i="1"/>
  <c r="J219" i="1" s="1"/>
  <c r="H219" i="1"/>
  <c r="G219" i="1"/>
  <c r="AC220" i="1"/>
  <c r="AD220" i="1" s="1"/>
  <c r="AA220" i="1"/>
  <c r="AB220" i="1"/>
  <c r="F220" i="1"/>
  <c r="E221" i="1"/>
  <c r="G220" i="1" l="1"/>
  <c r="H220" i="1"/>
  <c r="I220" i="1"/>
  <c r="J220" i="1" s="1"/>
  <c r="P222" i="1"/>
  <c r="O223" i="1"/>
  <c r="AA221" i="1"/>
  <c r="AB221" i="1"/>
  <c r="AC221" i="1"/>
  <c r="AD221" i="1" s="1"/>
  <c r="E222" i="1"/>
  <c r="F221" i="1"/>
  <c r="S221" i="1"/>
  <c r="T221" i="1" s="1"/>
  <c r="R221" i="1"/>
  <c r="Q221" i="1"/>
  <c r="Y223" i="1"/>
  <c r="Z222" i="1"/>
  <c r="S222" i="1" l="1"/>
  <c r="T222" i="1" s="1"/>
  <c r="Q222" i="1"/>
  <c r="R222" i="1"/>
  <c r="AB222" i="1"/>
  <c r="AC222" i="1"/>
  <c r="AD222" i="1" s="1"/>
  <c r="AA222" i="1"/>
  <c r="Z223" i="1"/>
  <c r="Y224" i="1"/>
  <c r="G221" i="1"/>
  <c r="I221" i="1"/>
  <c r="J221" i="1" s="1"/>
  <c r="H221" i="1"/>
  <c r="E223" i="1"/>
  <c r="F222" i="1"/>
  <c r="P223" i="1"/>
  <c r="O224" i="1"/>
  <c r="E224" i="1" l="1"/>
  <c r="F223" i="1"/>
  <c r="Y225" i="1"/>
  <c r="Z224" i="1"/>
  <c r="AA223" i="1"/>
  <c r="AC223" i="1"/>
  <c r="AD223" i="1" s="1"/>
  <c r="AB223" i="1"/>
  <c r="P224" i="1"/>
  <c r="O225" i="1"/>
  <c r="S223" i="1"/>
  <c r="T223" i="1" s="1"/>
  <c r="Q223" i="1"/>
  <c r="R223" i="1"/>
  <c r="H222" i="1"/>
  <c r="I222" i="1"/>
  <c r="J222" i="1" s="1"/>
  <c r="G222" i="1"/>
  <c r="Z225" i="1" l="1"/>
  <c r="Y226" i="1"/>
  <c r="AB224" i="1"/>
  <c r="AC224" i="1"/>
  <c r="AD224" i="1" s="1"/>
  <c r="AA224" i="1"/>
  <c r="I223" i="1"/>
  <c r="J223" i="1" s="1"/>
  <c r="H223" i="1"/>
  <c r="G223" i="1"/>
  <c r="S224" i="1"/>
  <c r="T224" i="1" s="1"/>
  <c r="R224" i="1"/>
  <c r="Q224" i="1"/>
  <c r="P225" i="1"/>
  <c r="O226" i="1"/>
  <c r="E225" i="1"/>
  <c r="F224" i="1"/>
  <c r="H224" i="1" l="1"/>
  <c r="I224" i="1"/>
  <c r="J224" i="1" s="1"/>
  <c r="G224" i="1"/>
  <c r="Q225" i="1"/>
  <c r="S225" i="1"/>
  <c r="T225" i="1" s="1"/>
  <c r="R225" i="1"/>
  <c r="E226" i="1"/>
  <c r="F225" i="1"/>
  <c r="Z226" i="1"/>
  <c r="Y227" i="1"/>
  <c r="O227" i="1"/>
  <c r="P226" i="1"/>
  <c r="AC225" i="1"/>
  <c r="AD225" i="1" s="1"/>
  <c r="AA225" i="1"/>
  <c r="AB225" i="1"/>
  <c r="F226" i="1" l="1"/>
  <c r="E227" i="1"/>
  <c r="Z227" i="1"/>
  <c r="Y228" i="1"/>
  <c r="R226" i="1"/>
  <c r="S226" i="1"/>
  <c r="T226" i="1" s="1"/>
  <c r="Q226" i="1"/>
  <c r="I225" i="1"/>
  <c r="J225" i="1" s="1"/>
  <c r="G225" i="1"/>
  <c r="H225" i="1"/>
  <c r="O228" i="1"/>
  <c r="P227" i="1"/>
  <c r="AB226" i="1"/>
  <c r="AC226" i="1"/>
  <c r="AD226" i="1" s="1"/>
  <c r="AA226" i="1"/>
  <c r="AA227" i="1" l="1"/>
  <c r="AC227" i="1"/>
  <c r="AD227" i="1" s="1"/>
  <c r="AB227" i="1"/>
  <c r="P228" i="1"/>
  <c r="O229" i="1"/>
  <c r="E228" i="1"/>
  <c r="F227" i="1"/>
  <c r="S227" i="1"/>
  <c r="T227" i="1" s="1"/>
  <c r="R227" i="1"/>
  <c r="Q227" i="1"/>
  <c r="Y229" i="1"/>
  <c r="Z228" i="1"/>
  <c r="I226" i="1"/>
  <c r="J226" i="1" s="1"/>
  <c r="G226" i="1"/>
  <c r="H226" i="1"/>
  <c r="AB228" i="1" l="1"/>
  <c r="AC228" i="1"/>
  <c r="AD228" i="1" s="1"/>
  <c r="AA228" i="1"/>
  <c r="Z229" i="1"/>
  <c r="Y230" i="1"/>
  <c r="G227" i="1"/>
  <c r="I227" i="1"/>
  <c r="J227" i="1" s="1"/>
  <c r="H227" i="1"/>
  <c r="S228" i="1"/>
  <c r="T228" i="1" s="1"/>
  <c r="R228" i="1"/>
  <c r="Q228" i="1"/>
  <c r="E229" i="1"/>
  <c r="F228" i="1"/>
  <c r="P229" i="1"/>
  <c r="O230" i="1"/>
  <c r="O231" i="1" l="1"/>
  <c r="P230" i="1"/>
  <c r="Q229" i="1"/>
  <c r="R229" i="1"/>
  <c r="S229" i="1"/>
  <c r="T229" i="1" s="1"/>
  <c r="F229" i="1"/>
  <c r="E230" i="1"/>
  <c r="AC229" i="1"/>
  <c r="AD229" i="1" s="1"/>
  <c r="AB229" i="1"/>
  <c r="AA229" i="1"/>
  <c r="H228" i="1"/>
  <c r="G228" i="1"/>
  <c r="I228" i="1"/>
  <c r="J228" i="1" s="1"/>
  <c r="Z230" i="1"/>
  <c r="Y231" i="1"/>
  <c r="Z231" i="1" l="1"/>
  <c r="Y232" i="1"/>
  <c r="AB230" i="1"/>
  <c r="AC230" i="1"/>
  <c r="AD230" i="1" s="1"/>
  <c r="AA230" i="1"/>
  <c r="I229" i="1"/>
  <c r="J229" i="1" s="1"/>
  <c r="G229" i="1"/>
  <c r="H229" i="1"/>
  <c r="R230" i="1"/>
  <c r="S230" i="1"/>
  <c r="T230" i="1" s="1"/>
  <c r="Q230" i="1"/>
  <c r="F230" i="1"/>
  <c r="E231" i="1"/>
  <c r="P231" i="1"/>
  <c r="O232" i="1"/>
  <c r="I230" i="1" l="1"/>
  <c r="J230" i="1" s="1"/>
  <c r="H230" i="1"/>
  <c r="G230" i="1"/>
  <c r="P232" i="1"/>
  <c r="O233" i="1"/>
  <c r="F231" i="1"/>
  <c r="E232" i="1"/>
  <c r="S231" i="1"/>
  <c r="T231" i="1" s="1"/>
  <c r="R231" i="1"/>
  <c r="Q231" i="1"/>
  <c r="Y233" i="1"/>
  <c r="Z232" i="1"/>
  <c r="AA231" i="1"/>
  <c r="AC231" i="1"/>
  <c r="AD231" i="1" s="1"/>
  <c r="AB231" i="1"/>
  <c r="Y234" i="1" l="1"/>
  <c r="Z233" i="1"/>
  <c r="G231" i="1"/>
  <c r="H231" i="1"/>
  <c r="I231" i="1"/>
  <c r="J231" i="1" s="1"/>
  <c r="AB232" i="1"/>
  <c r="AA232" i="1"/>
  <c r="AC232" i="1"/>
  <c r="AD232" i="1" s="1"/>
  <c r="R232" i="1"/>
  <c r="Q232" i="1"/>
  <c r="S232" i="1"/>
  <c r="T232" i="1" s="1"/>
  <c r="E233" i="1"/>
  <c r="F232" i="1"/>
  <c r="O234" i="1"/>
  <c r="P233" i="1"/>
  <c r="Q233" i="1" l="1"/>
  <c r="S233" i="1"/>
  <c r="T233" i="1" s="1"/>
  <c r="R233" i="1"/>
  <c r="F233" i="1"/>
  <c r="E234" i="1"/>
  <c r="O235" i="1"/>
  <c r="P234" i="1"/>
  <c r="AC233" i="1"/>
  <c r="AD233" i="1" s="1"/>
  <c r="AB233" i="1"/>
  <c r="AA233" i="1"/>
  <c r="H232" i="1"/>
  <c r="I232" i="1"/>
  <c r="J232" i="1" s="1"/>
  <c r="G232" i="1"/>
  <c r="Z234" i="1"/>
  <c r="Y235" i="1"/>
  <c r="I233" i="1" l="1"/>
  <c r="J233" i="1" s="1"/>
  <c r="H233" i="1"/>
  <c r="G233" i="1"/>
  <c r="R234" i="1"/>
  <c r="Q234" i="1"/>
  <c r="S234" i="1"/>
  <c r="T234" i="1" s="1"/>
  <c r="Z235" i="1"/>
  <c r="Y236" i="1"/>
  <c r="AA234" i="1"/>
  <c r="AC234" i="1"/>
  <c r="AD234" i="1" s="1"/>
  <c r="AB234" i="1"/>
  <c r="O236" i="1"/>
  <c r="P235" i="1"/>
  <c r="F234" i="1"/>
  <c r="E235" i="1"/>
  <c r="P236" i="1" l="1"/>
  <c r="O237" i="1"/>
  <c r="Y237" i="1"/>
  <c r="Z236" i="1"/>
  <c r="AA235" i="1"/>
  <c r="AC235" i="1"/>
  <c r="AD235" i="1" s="1"/>
  <c r="AB235" i="1"/>
  <c r="H234" i="1"/>
  <c r="G234" i="1"/>
  <c r="I234" i="1"/>
  <c r="J234" i="1" s="1"/>
  <c r="F235" i="1"/>
  <c r="E236" i="1"/>
  <c r="S235" i="1"/>
  <c r="T235" i="1" s="1"/>
  <c r="Q235" i="1"/>
  <c r="R235" i="1"/>
  <c r="E237" i="1" l="1"/>
  <c r="F236" i="1"/>
  <c r="Y238" i="1"/>
  <c r="Z237" i="1"/>
  <c r="AB236" i="1"/>
  <c r="AC236" i="1"/>
  <c r="AD236" i="1" s="1"/>
  <c r="AA236" i="1"/>
  <c r="O238" i="1"/>
  <c r="P237" i="1"/>
  <c r="G235" i="1"/>
  <c r="H235" i="1"/>
  <c r="I235" i="1"/>
  <c r="J235" i="1" s="1"/>
  <c r="Q236" i="1"/>
  <c r="S236" i="1"/>
  <c r="T236" i="1" s="1"/>
  <c r="R236" i="1"/>
  <c r="Z238" i="1" l="1"/>
  <c r="Y239" i="1"/>
  <c r="AC237" i="1"/>
  <c r="AD237" i="1" s="1"/>
  <c r="AB237" i="1"/>
  <c r="AA237" i="1"/>
  <c r="H236" i="1"/>
  <c r="G236" i="1"/>
  <c r="I236" i="1"/>
  <c r="J236" i="1" s="1"/>
  <c r="O239" i="1"/>
  <c r="P238" i="1"/>
  <c r="Q237" i="1"/>
  <c r="S237" i="1"/>
  <c r="T237" i="1" s="1"/>
  <c r="R237" i="1"/>
  <c r="E238" i="1"/>
  <c r="F237" i="1"/>
  <c r="F238" i="1" l="1"/>
  <c r="E239" i="1"/>
  <c r="R238" i="1"/>
  <c r="Q238" i="1"/>
  <c r="S238" i="1"/>
  <c r="T238" i="1" s="1"/>
  <c r="Y240" i="1"/>
  <c r="Z239" i="1"/>
  <c r="I237" i="1"/>
  <c r="J237" i="1" s="1"/>
  <c r="G237" i="1"/>
  <c r="H237" i="1"/>
  <c r="O240" i="1"/>
  <c r="P239" i="1"/>
  <c r="AB238" i="1"/>
  <c r="AC238" i="1"/>
  <c r="AD238" i="1" s="1"/>
  <c r="AA238" i="1"/>
  <c r="P240" i="1" l="1"/>
  <c r="O241" i="1"/>
  <c r="AA239" i="1"/>
  <c r="AB239" i="1"/>
  <c r="AC239" i="1"/>
  <c r="AD239" i="1" s="1"/>
  <c r="S239" i="1"/>
  <c r="T239" i="1" s="1"/>
  <c r="R239" i="1"/>
  <c r="Q239" i="1"/>
  <c r="Y241" i="1"/>
  <c r="Z240" i="1"/>
  <c r="E240" i="1"/>
  <c r="F239" i="1"/>
  <c r="G238" i="1"/>
  <c r="H238" i="1"/>
  <c r="I238" i="1"/>
  <c r="J238" i="1" s="1"/>
  <c r="G239" i="1" l="1"/>
  <c r="I239" i="1"/>
  <c r="J239" i="1" s="1"/>
  <c r="H239" i="1"/>
  <c r="E241" i="1"/>
  <c r="F240" i="1"/>
  <c r="O242" i="1"/>
  <c r="P241" i="1"/>
  <c r="AB240" i="1"/>
  <c r="AC240" i="1"/>
  <c r="AD240" i="1" s="1"/>
  <c r="AA240" i="1"/>
  <c r="Z241" i="1"/>
  <c r="Y242" i="1"/>
  <c r="R240" i="1"/>
  <c r="Q240" i="1"/>
  <c r="S240" i="1"/>
  <c r="T240" i="1" s="1"/>
  <c r="E242" i="1" l="1"/>
  <c r="F241" i="1"/>
  <c r="AC241" i="1"/>
  <c r="AD241" i="1" s="1"/>
  <c r="AA241" i="1"/>
  <c r="AB241" i="1"/>
  <c r="Q241" i="1"/>
  <c r="R241" i="1"/>
  <c r="S241" i="1"/>
  <c r="T241" i="1" s="1"/>
  <c r="O244" i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P242" i="1"/>
  <c r="O243" i="1"/>
  <c r="Z242" i="1"/>
  <c r="Y244" i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43" i="1"/>
  <c r="H240" i="1"/>
  <c r="G240" i="1"/>
  <c r="I240" i="1"/>
  <c r="J240" i="1" s="1"/>
  <c r="AC242" i="1" l="1"/>
  <c r="AB242" i="1"/>
  <c r="AB243" i="1" s="1"/>
  <c r="AA242" i="1"/>
  <c r="AA243" i="1" s="1"/>
  <c r="Z243" i="1"/>
  <c r="R242" i="1"/>
  <c r="R243" i="1" s="1"/>
  <c r="S242" i="1"/>
  <c r="Q242" i="1"/>
  <c r="Q243" i="1" s="1"/>
  <c r="P243" i="1"/>
  <c r="I241" i="1"/>
  <c r="J241" i="1" s="1"/>
  <c r="H241" i="1"/>
  <c r="G241" i="1"/>
  <c r="E244" i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F242" i="1"/>
  <c r="E243" i="1"/>
  <c r="T242" i="1" l="1"/>
  <c r="T243" i="1" s="1"/>
  <c r="S243" i="1"/>
  <c r="H242" i="1"/>
  <c r="H243" i="1" s="1"/>
  <c r="D261" i="1" s="1"/>
  <c r="F261" i="1" s="1"/>
  <c r="G242" i="1"/>
  <c r="G243" i="1" s="1"/>
  <c r="D260" i="1" s="1"/>
  <c r="F260" i="1" s="1"/>
  <c r="I242" i="1"/>
  <c r="F243" i="1"/>
  <c r="AD242" i="1"/>
  <c r="AD243" i="1" s="1"/>
  <c r="AC243" i="1"/>
  <c r="J242" i="1" l="1"/>
  <c r="J243" i="1" s="1"/>
  <c r="D262" i="1" s="1"/>
  <c r="F262" i="1" s="1"/>
  <c r="I243" i="1"/>
</calcChain>
</file>

<file path=xl/sharedStrings.xml><?xml version="1.0" encoding="utf-8"?>
<sst xmlns="http://schemas.openxmlformats.org/spreadsheetml/2006/main" count="1042" uniqueCount="51">
  <si>
    <t>Instruction:</t>
  </si>
  <si>
    <t>Naive Method</t>
  </si>
  <si>
    <t>Moving Average</t>
  </si>
  <si>
    <t>Exponential Smoothing</t>
  </si>
  <si>
    <t>Do Calculation:</t>
  </si>
  <si>
    <t xml:space="preserve">MAE </t>
  </si>
  <si>
    <t>MSE</t>
  </si>
  <si>
    <t>MAPE</t>
  </si>
  <si>
    <t>Premier Sweets (Shantinagar branch)</t>
  </si>
  <si>
    <t>In thousands)</t>
  </si>
  <si>
    <t>Data Set: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</si>
  <si>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</si>
  <si>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</si>
  <si>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</si>
  <si>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</si>
  <si>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</si>
  <si>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</si>
  <si>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</si>
  <si>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</si>
  <si>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</si>
  <si>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</si>
  <si>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</si>
  <si>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</si>
  <si>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</si>
  <si>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Naïve Method</t>
  </si>
  <si>
    <t>Month</t>
  </si>
  <si>
    <t>Absolute</t>
  </si>
  <si>
    <t>Forecast</t>
  </si>
  <si>
    <t>Forecast Error</t>
  </si>
  <si>
    <t>Absolute Value of Forecast Error</t>
  </si>
  <si>
    <t>Squared Forecast Error</t>
  </si>
  <si>
    <t>Percentage of Error</t>
  </si>
  <si>
    <t>Absolute Value of Percentage Error</t>
  </si>
  <si>
    <t>Time Series Plot</t>
  </si>
  <si>
    <t>Total</t>
  </si>
  <si>
    <t>MAE</t>
  </si>
  <si>
    <t>Average of Past Values</t>
  </si>
  <si>
    <t>For Plotting Purpose</t>
  </si>
  <si>
    <t>2 period Moving Average Method</t>
  </si>
  <si>
    <t>3 period Moving Average Method</t>
  </si>
  <si>
    <t>4 period Moving Average Method</t>
  </si>
  <si>
    <t>Forecast (2 Period Moving Average)</t>
  </si>
  <si>
    <t>Forecast (3 Period moving Average)</t>
  </si>
  <si>
    <t>Forecast (4 Period moving Average)</t>
  </si>
  <si>
    <t>-</t>
  </si>
  <si>
    <t>total</t>
  </si>
  <si>
    <t xml:space="preserve">MSE </t>
  </si>
  <si>
    <t xml:space="preserve"> α</t>
  </si>
  <si>
    <t>Forecast (α = 0.2)</t>
  </si>
  <si>
    <t>Forecast (α = 0.25)</t>
  </si>
  <si>
    <t>Forecast (α = 0.30)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</si>
</sst>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mmmm\ yyyy"/>
  </numFmts>
  <fonts count="12">
    <font>
      <sz val="11"/>
      <color theme="1"/>
      <name val="Aptos Narrow"/>
      <scheme val="minor"/>
    </font>
    <font>
      <sz val="11"/>
      <color rgb="FF000000"/>
      <name val="Arial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Aptos Narrow"/>
    </font>
    <font>
      <b/>
      <sz val="12"/>
      <color theme="1"/>
      <name val="Arial"/>
    </font>
    <font>
      <sz val="11"/>
      <name val="Aptos Narrow"/>
    </font>
    <font>
      <b/>
      <sz val="14"/>
      <color theme="1"/>
      <name val="Aptos Narrow"/>
    </font>
    <font>
      <sz val="11"/>
      <color theme="1"/>
      <name val="Aptos Narrow"/>
      <scheme val="minor"/>
    </font>
    <font>
      <sz val="12"/>
      <color theme="1"/>
      <name val="Arial"/>
    </font>
    <font>
      <b/>
      <sz val="11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9FC5E8"/>
        <bgColor rgb="FF9FC5E8"/>
      </patternFill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C1F0C8"/>
        <bgColor rgb="FFC1F0C8"/>
      </patternFill>
    </fill>
    <fill>
      <patternFill patternType="solid">
        <fgColor rgb="FFE0F7FA"/>
        <bgColor rgb="FFE0F7FA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2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2" fontId="4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2" fontId="2" fillId="9" borderId="7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2" fillId="9" borderId="7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2" fontId="2" fillId="11" borderId="7" xfId="0" applyNumberFormat="1" applyFont="1" applyFill="1" applyBorder="1" applyAlignment="1">
      <alignment horizontal="center"/>
    </xf>
    <xf numFmtId="164" fontId="2" fillId="11" borderId="7" xfId="0" applyNumberFormat="1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2" fontId="3" fillId="11" borderId="7" xfId="0" applyNumberFormat="1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2" fontId="3" fillId="9" borderId="7" xfId="0" applyNumberFormat="1" applyFont="1" applyFill="1" applyBorder="1" applyAlignment="1">
      <alignment horizontal="center"/>
    </xf>
    <xf numFmtId="164" fontId="3" fillId="9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9" borderId="7" xfId="0" applyFont="1" applyFill="1" applyBorder="1" applyAlignment="1">
      <alignment horizontal="center" wrapText="1"/>
    </xf>
    <xf numFmtId="2" fontId="1" fillId="9" borderId="7" xfId="0" applyNumberFormat="1" applyFont="1" applyFill="1" applyBorder="1" applyAlignment="1">
      <alignment horizontal="center" wrapText="1"/>
    </xf>
    <xf numFmtId="0" fontId="2" fillId="13" borderId="7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2" fontId="3" fillId="13" borderId="7" xfId="0" applyNumberFormat="1" applyFont="1" applyFill="1" applyBorder="1" applyAlignment="1">
      <alignment horizontal="center"/>
    </xf>
    <xf numFmtId="0" fontId="2" fillId="0" borderId="2" xfId="0" applyFont="1" applyBorder="1"/>
    <xf numFmtId="2" fontId="2" fillId="13" borderId="7" xfId="0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3" fillId="0" borderId="2" xfId="0" applyFont="1" applyBorder="1"/>
    <xf numFmtId="2" fontId="3" fillId="0" borderId="2" xfId="0" applyNumberFormat="1" applyFont="1" applyBorder="1"/>
    <xf numFmtId="165" fontId="3" fillId="0" borderId="2" xfId="0" applyNumberFormat="1" applyFont="1" applyBorder="1" applyAlignment="1">
      <alignment horizontal="center"/>
    </xf>
    <xf numFmtId="0" fontId="8" fillId="0" borderId="0" xfId="0" applyFont="1"/>
    <xf numFmtId="0" fontId="2" fillId="9" borderId="2" xfId="0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/>
    <xf numFmtId="2" fontId="9" fillId="0" borderId="0" xfId="0" applyNumberFormat="1" applyFont="1"/>
    <xf numFmtId="2" fontId="3" fillId="0" borderId="0" xfId="0" applyNumberFormat="1" applyFont="1"/>
    <xf numFmtId="164" fontId="4" fillId="7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 wrapText="1"/>
    </xf>
    <xf numFmtId="165" fontId="2" fillId="0" borderId="2" xfId="0" applyNumberFormat="1" applyFont="1" applyBorder="1" applyAlignment="1">
      <alignment horizontal="center"/>
    </xf>
    <xf numFmtId="164" fontId="2" fillId="9" borderId="2" xfId="0" applyNumberFormat="1" applyFont="1" applyFill="1" applyBorder="1" applyAlignment="1">
      <alignment horizontal="center"/>
    </xf>
    <xf numFmtId="164" fontId="3" fillId="9" borderId="2" xfId="0" applyNumberFormat="1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164" fontId="2" fillId="11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2" fontId="3" fillId="9" borderId="2" xfId="0" applyNumberFormat="1" applyFont="1" applyFill="1" applyBorder="1" applyAlignment="1">
      <alignment horizontal="center"/>
    </xf>
    <xf numFmtId="164" fontId="2" fillId="0" borderId="2" xfId="0" applyNumberFormat="1" applyFont="1" applyBorder="1"/>
    <xf numFmtId="2" fontId="4" fillId="9" borderId="7" xfId="0" applyNumberFormat="1" applyFont="1" applyFill="1" applyBorder="1" applyAlignment="1">
      <alignment horizontal="center"/>
    </xf>
    <xf numFmtId="166" fontId="2" fillId="0" borderId="0" xfId="0" applyNumberFormat="1" applyFont="1"/>
    <xf numFmtId="2" fontId="1" fillId="9" borderId="2" xfId="0" applyNumberFormat="1" applyFont="1" applyFill="1" applyBorder="1" applyAlignment="1">
      <alignment horizontal="left" wrapText="1"/>
    </xf>
    <xf numFmtId="2" fontId="11" fillId="9" borderId="2" xfId="0" applyNumberFormat="1" applyFont="1" applyFill="1" applyBorder="1" applyAlignment="1">
      <alignment horizontal="right" wrapText="1"/>
    </xf>
    <xf numFmtId="164" fontId="3" fillId="0" borderId="7" xfId="0" applyNumberFormat="1" applyFont="1" applyBorder="1" applyAlignment="1">
      <alignment horizontal="center"/>
    </xf>
    <xf numFmtId="0" fontId="4" fillId="7" borderId="6" xfId="0" applyFont="1" applyFill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4" fillId="7" borderId="6" xfId="0" applyNumberFormat="1" applyFont="1" applyFill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/>
    </xf>
    <xf numFmtId="2" fontId="10" fillId="9" borderId="10" xfId="0" applyNumberFormat="1" applyFont="1" applyFill="1" applyBorder="1" applyAlignment="1">
      <alignment horizontal="center"/>
    </xf>
    <xf numFmtId="2" fontId="1" fillId="9" borderId="2" xfId="0" applyNumberFormat="1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3" fillId="10" borderId="6" xfId="0" applyFont="1" applyFill="1" applyBorder="1" applyAlignment="1">
      <alignment horizontal="center" vertical="center" textRotation="90" wrapText="1"/>
    </xf>
    <xf numFmtId="0" fontId="3" fillId="12" borderId="6" xfId="0" applyFont="1" applyFill="1" applyBorder="1" applyAlignment="1">
      <alignment horizontal="center" vertical="center" textRotation="90" wrapText="1"/>
    </xf>
    <xf numFmtId="0" fontId="6" fillId="5" borderId="3" xfId="0" applyFont="1" applyFill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3" fillId="8" borderId="6" xfId="0" applyFont="1" applyFill="1" applyBorder="1" applyAlignment="1">
      <alignment horizontal="center" vertical="center" textRotation="90" wrapText="1"/>
    </xf>
    <xf numFmtId="0" fontId="3" fillId="0" borderId="10" xfId="0" applyFont="1" applyBorder="1"/>
    <xf numFmtId="2" fontId="3" fillId="0" borderId="10" xfId="0" applyNumberFormat="1" applyFont="1" applyBorder="1"/>
    <xf numFmtId="2" fontId="2" fillId="0" borderId="10" xfId="0" applyNumberFormat="1" applyFont="1" applyBorder="1"/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2E8F1"/>
          <bgColor rgb="FFA2E8F1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Sheet1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Moving Average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Sheet1!$AI$132</c:f>
              <c:strCache>
                <c:ptCount val="1"/>
                <c:pt idx="0">
                  <c:v>Absolute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Sheet1!$AG$133:$AH$168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Sheet1!$AI$133:$AI$168</c:f>
              <c:numCache>
                <c:formatCode>General</c:formatCode>
                <c:ptCount val="36"/>
                <c:pt idx="0">
                  <c:v>98.2</c:v>
                </c:pt>
                <c:pt idx="1">
                  <c:v>72.8</c:v>
                </c:pt>
                <c:pt idx="2">
                  <c:v>119.4</c:v>
                </c:pt>
                <c:pt idx="3" formatCode="0.0">
                  <c:v>107.5</c:v>
                </c:pt>
                <c:pt idx="4">
                  <c:v>115.8</c:v>
                </c:pt>
                <c:pt idx="5">
                  <c:v>123.7</c:v>
                </c:pt>
                <c:pt idx="6" formatCode="0.0">
                  <c:v>139.5</c:v>
                </c:pt>
                <c:pt idx="7">
                  <c:v>129.80000000000001</c:v>
                </c:pt>
                <c:pt idx="8">
                  <c:v>115.9</c:v>
                </c:pt>
                <c:pt idx="9">
                  <c:v>106.5</c:v>
                </c:pt>
                <c:pt idx="10">
                  <c:v>76.7</c:v>
                </c:pt>
                <c:pt idx="11">
                  <c:v>149.30000000000001</c:v>
                </c:pt>
                <c:pt idx="12">
                  <c:v>101.1</c:v>
                </c:pt>
                <c:pt idx="13">
                  <c:v>77.599999999999994</c:v>
                </c:pt>
                <c:pt idx="14">
                  <c:v>121.8</c:v>
                </c:pt>
                <c:pt idx="15" formatCode="0.0">
                  <c:v>109.2</c:v>
                </c:pt>
                <c:pt idx="16">
                  <c:v>118.7</c:v>
                </c:pt>
                <c:pt idx="17">
                  <c:v>127.1</c:v>
                </c:pt>
                <c:pt idx="18" formatCode="0.0">
                  <c:v>135.4</c:v>
                </c:pt>
                <c:pt idx="19">
                  <c:v>130.69999999999999</c:v>
                </c:pt>
                <c:pt idx="20">
                  <c:v>118.2</c:v>
                </c:pt>
                <c:pt idx="21">
                  <c:v>110.4</c:v>
                </c:pt>
                <c:pt idx="22">
                  <c:v>77.400000000000006</c:v>
                </c:pt>
                <c:pt idx="23">
                  <c:v>152.1</c:v>
                </c:pt>
                <c:pt idx="24">
                  <c:v>99.7</c:v>
                </c:pt>
                <c:pt idx="25">
                  <c:v>75.400000000000006</c:v>
                </c:pt>
                <c:pt idx="26">
                  <c:v>122.5</c:v>
                </c:pt>
                <c:pt idx="27" formatCode="0.0">
                  <c:v>112.3</c:v>
                </c:pt>
                <c:pt idx="28">
                  <c:v>116.4</c:v>
                </c:pt>
                <c:pt idx="29">
                  <c:v>125.5</c:v>
                </c:pt>
                <c:pt idx="30" formatCode="0.0">
                  <c:v>114.3</c:v>
                </c:pt>
                <c:pt idx="31">
                  <c:v>127.9</c:v>
                </c:pt>
                <c:pt idx="32">
                  <c:v>119.6</c:v>
                </c:pt>
                <c:pt idx="33">
                  <c:v>108.7</c:v>
                </c:pt>
                <c:pt idx="34">
                  <c:v>78.5</c:v>
                </c:pt>
                <c:pt idx="35">
                  <c:v>150.80000000000001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7-4680-AD68-234BE3C43B20}"/>
            </c:ext>
          </c:extLst>
        </c:ser>
        <c:ser>
          <c:idx val="1"/>
          <c:order val="1"/>
          <c:tx>
            <c:strRef>
              <c:f>Sheet1!$AJ$132</c:f>
              <c:strCache>
                <c:ptCount val="1"/>
                <c:pt idx="0">
                  <c:v>Forecast (2 Period Moving Average)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Sheet1!$AG$133:$AH$168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Sheet1!$AJ$133:$AJ$168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 formatCode="0.00">
                  <c:v>85.5</c:v>
                </c:pt>
                <c:pt idx="3" formatCode="0.00">
                  <c:v>96.1</c:v>
                </c:pt>
                <c:pt idx="4" formatCode="0.00">
                  <c:v>113.45</c:v>
                </c:pt>
                <c:pt idx="5" formatCode="0.00">
                  <c:v>111.65</c:v>
                </c:pt>
                <c:pt idx="6" formatCode="0.00">
                  <c:v>119.75</c:v>
                </c:pt>
                <c:pt idx="7" formatCode="0.00">
                  <c:v>131.6</c:v>
                </c:pt>
                <c:pt idx="8" formatCode="0.00">
                  <c:v>134.65</c:v>
                </c:pt>
                <c:pt idx="9" formatCode="0.00">
                  <c:v>122.85000000000001</c:v>
                </c:pt>
                <c:pt idx="10" formatCode="0.00">
                  <c:v>111.2</c:v>
                </c:pt>
                <c:pt idx="11" formatCode="0.00">
                  <c:v>91.6</c:v>
                </c:pt>
                <c:pt idx="12" formatCode="0.00">
                  <c:v>113</c:v>
                </c:pt>
                <c:pt idx="13" formatCode="0.00">
                  <c:v>125.2</c:v>
                </c:pt>
                <c:pt idx="14" formatCode="0.00">
                  <c:v>89.35</c:v>
                </c:pt>
                <c:pt idx="15" formatCode="0.00">
                  <c:v>99.699999999999989</c:v>
                </c:pt>
                <c:pt idx="16" formatCode="0.00">
                  <c:v>115.5</c:v>
                </c:pt>
                <c:pt idx="17" formatCode="0.00">
                  <c:v>113.95</c:v>
                </c:pt>
                <c:pt idx="18" formatCode="0.00">
                  <c:v>122.9</c:v>
                </c:pt>
                <c:pt idx="19" formatCode="0.00">
                  <c:v>131.25</c:v>
                </c:pt>
                <c:pt idx="20" formatCode="0.00">
                  <c:v>133.05000000000001</c:v>
                </c:pt>
                <c:pt idx="21" formatCode="0.00">
                  <c:v>124.44999999999999</c:v>
                </c:pt>
                <c:pt idx="22" formatCode="0.00">
                  <c:v>114.30000000000001</c:v>
                </c:pt>
                <c:pt idx="23" formatCode="0.00">
                  <c:v>93.9</c:v>
                </c:pt>
                <c:pt idx="24" formatCode="0.00">
                  <c:v>114.75</c:v>
                </c:pt>
                <c:pt idx="25" formatCode="0.00">
                  <c:v>125.9</c:v>
                </c:pt>
                <c:pt idx="26" formatCode="0.00">
                  <c:v>87.550000000000011</c:v>
                </c:pt>
                <c:pt idx="27" formatCode="0.00">
                  <c:v>98.95</c:v>
                </c:pt>
                <c:pt idx="28" formatCode="0.00">
                  <c:v>117.4</c:v>
                </c:pt>
                <c:pt idx="29" formatCode="0.00">
                  <c:v>114.35</c:v>
                </c:pt>
                <c:pt idx="30" formatCode="0.00">
                  <c:v>120.95</c:v>
                </c:pt>
                <c:pt idx="31" formatCode="0.00">
                  <c:v>119.9</c:v>
                </c:pt>
                <c:pt idx="32" formatCode="0.00">
                  <c:v>121.1</c:v>
                </c:pt>
                <c:pt idx="33" formatCode="0.00">
                  <c:v>123.75</c:v>
                </c:pt>
                <c:pt idx="34" formatCode="0.00">
                  <c:v>114.15</c:v>
                </c:pt>
                <c:pt idx="35" formatCode="0.00">
                  <c:v>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7-4680-AD68-234BE3C43B20}"/>
            </c:ext>
          </c:extLst>
        </c:ser>
        <c:ser>
          <c:idx val="2"/>
          <c:order val="2"/>
          <c:tx>
            <c:strRef>
              <c:f>Sheet1!$AK$132</c:f>
              <c:strCache>
                <c:ptCount val="1"/>
                <c:pt idx="0">
                  <c:v>Forecast (3 Period moving Average)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multiLvlStrRef>
              <c:f>Sheet1!$AG$133:$AH$168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Sheet1!$AK$133:$AK$168</c:f>
              <c:numCache>
                <c:formatCode>General</c:formatCode>
                <c:ptCount val="36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96.8</c:v>
                </c:pt>
                <c:pt idx="4" formatCode="0.0">
                  <c:v>99.899999999999991</c:v>
                </c:pt>
                <c:pt idx="5" formatCode="0.0">
                  <c:v>114.23333333333333</c:v>
                </c:pt>
                <c:pt idx="6" formatCode="0.0">
                  <c:v>115.66666666666667</c:v>
                </c:pt>
                <c:pt idx="7" formatCode="0.0">
                  <c:v>126.33333333333333</c:v>
                </c:pt>
                <c:pt idx="8" formatCode="0.0">
                  <c:v>131</c:v>
                </c:pt>
                <c:pt idx="9" formatCode="0.0">
                  <c:v>128.4</c:v>
                </c:pt>
                <c:pt idx="10" formatCode="0.0">
                  <c:v>117.40000000000002</c:v>
                </c:pt>
                <c:pt idx="11" formatCode="0.0">
                  <c:v>99.7</c:v>
                </c:pt>
                <c:pt idx="12" formatCode="0.0">
                  <c:v>110.83333333333333</c:v>
                </c:pt>
                <c:pt idx="13" formatCode="0.0">
                  <c:v>109.03333333333335</c:v>
                </c:pt>
                <c:pt idx="14" formatCode="0.0">
                  <c:v>109.33333333333333</c:v>
                </c:pt>
                <c:pt idx="15" formatCode="0.0">
                  <c:v>100.16666666666667</c:v>
                </c:pt>
                <c:pt idx="16" formatCode="0.0">
                  <c:v>102.86666666666666</c:v>
                </c:pt>
                <c:pt idx="17" formatCode="0.0">
                  <c:v>116.56666666666666</c:v>
                </c:pt>
                <c:pt idx="18" formatCode="0.0">
                  <c:v>118.33333333333333</c:v>
                </c:pt>
                <c:pt idx="19" formatCode="0.0">
                  <c:v>127.06666666666668</c:v>
                </c:pt>
                <c:pt idx="20" formatCode="0.0">
                  <c:v>131.06666666666666</c:v>
                </c:pt>
                <c:pt idx="21" formatCode="0.0">
                  <c:v>128.1</c:v>
                </c:pt>
                <c:pt idx="22" formatCode="0.0">
                  <c:v>119.76666666666665</c:v>
                </c:pt>
                <c:pt idx="23" formatCode="0.0">
                  <c:v>102</c:v>
                </c:pt>
                <c:pt idx="24" formatCode="0.0">
                  <c:v>113.3</c:v>
                </c:pt>
                <c:pt idx="25" formatCode="0.0">
                  <c:v>109.73333333333333</c:v>
                </c:pt>
                <c:pt idx="26" formatCode="0.0">
                  <c:v>109.06666666666668</c:v>
                </c:pt>
                <c:pt idx="27" formatCode="0.0">
                  <c:v>99.2</c:v>
                </c:pt>
                <c:pt idx="28" formatCode="0.0">
                  <c:v>103.39999999999999</c:v>
                </c:pt>
                <c:pt idx="29" formatCode="0.0">
                  <c:v>117.06666666666668</c:v>
                </c:pt>
                <c:pt idx="30" formatCode="0.0">
                  <c:v>118.06666666666666</c:v>
                </c:pt>
                <c:pt idx="31" formatCode="0.0">
                  <c:v>118.73333333333333</c:v>
                </c:pt>
                <c:pt idx="32" formatCode="0.0">
                  <c:v>122.56666666666668</c:v>
                </c:pt>
                <c:pt idx="33" formatCode="0.0">
                  <c:v>120.59999999999998</c:v>
                </c:pt>
                <c:pt idx="34" formatCode="0.0">
                  <c:v>118.73333333333333</c:v>
                </c:pt>
                <c:pt idx="35" formatCode="0.0">
                  <c:v>102.26666666666667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47-4680-AD68-234BE3C43B20}"/>
            </c:ext>
          </c:extLst>
        </c:ser>
        <c:ser>
          <c:idx val="3"/>
          <c:order val="3"/>
          <c:tx>
            <c:strRef>
              <c:f>Sheet1!$AL$132</c:f>
              <c:strCache>
                <c:ptCount val="1"/>
                <c:pt idx="0">
                  <c:v>Forecast (4 Period moving Average)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multiLvlStrRef>
              <c:f>Sheet1!$AG$133:$AH$168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Sheet1!$AL$133:$AL$168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24.2</c:v>
                </c:pt>
                <c:pt idx="5">
                  <c:v>49.174999999999997</c:v>
                </c:pt>
                <c:pt idx="6">
                  <c:v>77.733333333333334</c:v>
                </c:pt>
                <c:pt idx="7">
                  <c:v>106.65</c:v>
                </c:pt>
                <c:pt idx="8">
                  <c:v>114.03333333333333</c:v>
                </c:pt>
                <c:pt idx="9">
                  <c:v>121.80833333333334</c:v>
                </c:pt>
                <c:pt idx="10">
                  <c:v>125.35</c:v>
                </c:pt>
                <c:pt idx="11">
                  <c:v>125.78333333333335</c:v>
                </c:pt>
                <c:pt idx="12">
                  <c:v>119.125</c:v>
                </c:pt>
                <c:pt idx="13">
                  <c:v>114.08333333333333</c:v>
                </c:pt>
                <c:pt idx="14">
                  <c:v>109.24166666666667</c:v>
                </c:pt>
                <c:pt idx="15">
                  <c:v>107.22499999999999</c:v>
                </c:pt>
                <c:pt idx="16">
                  <c:v>107.34166666666667</c:v>
                </c:pt>
                <c:pt idx="17">
                  <c:v>105.35000000000001</c:v>
                </c:pt>
                <c:pt idx="18">
                  <c:v>107.23333333333333</c:v>
                </c:pt>
                <c:pt idx="19">
                  <c:v>109.48333333333333</c:v>
                </c:pt>
                <c:pt idx="20">
                  <c:v>116.20833333333333</c:v>
                </c:pt>
                <c:pt idx="21">
                  <c:v>123.25833333333333</c:v>
                </c:pt>
                <c:pt idx="22">
                  <c:v>126.14166666666668</c:v>
                </c:pt>
                <c:pt idx="23">
                  <c:v>126.5</c:v>
                </c:pt>
                <c:pt idx="24">
                  <c:v>120.23333333333332</c:v>
                </c:pt>
                <c:pt idx="25">
                  <c:v>115.79166666666667</c:v>
                </c:pt>
                <c:pt idx="26">
                  <c:v>111.2</c:v>
                </c:pt>
                <c:pt idx="27">
                  <c:v>108.52500000000001</c:v>
                </c:pt>
                <c:pt idx="28">
                  <c:v>107.825</c:v>
                </c:pt>
                <c:pt idx="29">
                  <c:v>105.35</c:v>
                </c:pt>
                <c:pt idx="30">
                  <c:v>107.18333333333334</c:v>
                </c:pt>
                <c:pt idx="31">
                  <c:v>109.43333333333334</c:v>
                </c:pt>
                <c:pt idx="32">
                  <c:v>114.31666666666666</c:v>
                </c:pt>
                <c:pt idx="33">
                  <c:v>119.10833333333333</c:v>
                </c:pt>
                <c:pt idx="34">
                  <c:v>119.99166666666666</c:v>
                </c:pt>
                <c:pt idx="35">
                  <c:v>120.15833333333333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47-4680-AD68-234BE3C43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658432"/>
        <c:axId val="1061661344"/>
      </c:lineChart>
      <c:catAx>
        <c:axId val="106165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97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97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61344"/>
        <c:crosses val="autoZero"/>
        <c:auto val="1"/>
        <c:lblAlgn val="ctr"/>
        <c:lblOffset val="100"/>
        <c:noMultiLvlLbl val="0"/>
      </c:catAx>
      <c:valAx>
        <c:axId val="1061661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dirty="0"/>
                  <a:t>Amount BDT (in thousands)</a:t>
                </a:r>
              </a:p>
            </c:rich>
          </c:tx>
          <c:layout>
            <c:manualLayout>
              <c:xMode val="edge"/>
              <c:yMode val="edge"/>
              <c:x val="2.714898711151879E-2"/>
              <c:y val="0.19593129797468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5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dirty="0" err="1" smtClean="0"/>
              <a:t>ExpoNential</a:t>
            </a:r>
            <a:r>
              <a:rPr lang="en-US" sz="1600" dirty="0" smtClean="0"/>
              <a:t> </a:t>
            </a:r>
            <a:r>
              <a:rPr lang="en-US" sz="1600" dirty="0"/>
              <a:t>Smoothing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Sheet1!$AJ$206</c:f>
              <c:strCache>
                <c:ptCount val="1"/>
                <c:pt idx="0">
                  <c:v>Absolute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Sheet1!$AH$207:$AI$242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Sheet1!$AJ$207:$AJ$242</c:f>
              <c:numCache>
                <c:formatCode>General</c:formatCode>
                <c:ptCount val="36"/>
                <c:pt idx="0">
                  <c:v>98.2</c:v>
                </c:pt>
                <c:pt idx="1">
                  <c:v>72.8</c:v>
                </c:pt>
                <c:pt idx="2">
                  <c:v>119.4</c:v>
                </c:pt>
                <c:pt idx="3" formatCode="0.0">
                  <c:v>107.5</c:v>
                </c:pt>
                <c:pt idx="4">
                  <c:v>115.8</c:v>
                </c:pt>
                <c:pt idx="5">
                  <c:v>123.7</c:v>
                </c:pt>
                <c:pt idx="6" formatCode="0.0">
                  <c:v>139.5</c:v>
                </c:pt>
                <c:pt idx="7">
                  <c:v>129.80000000000001</c:v>
                </c:pt>
                <c:pt idx="8">
                  <c:v>115.9</c:v>
                </c:pt>
                <c:pt idx="9">
                  <c:v>106.5</c:v>
                </c:pt>
                <c:pt idx="10">
                  <c:v>76.7</c:v>
                </c:pt>
                <c:pt idx="11">
                  <c:v>149.30000000000001</c:v>
                </c:pt>
                <c:pt idx="12">
                  <c:v>101.1</c:v>
                </c:pt>
                <c:pt idx="13">
                  <c:v>77.599999999999994</c:v>
                </c:pt>
                <c:pt idx="14">
                  <c:v>121.8</c:v>
                </c:pt>
                <c:pt idx="15" formatCode="0.0">
                  <c:v>109.2</c:v>
                </c:pt>
                <c:pt idx="16">
                  <c:v>118.7</c:v>
                </c:pt>
                <c:pt idx="17">
                  <c:v>127.1</c:v>
                </c:pt>
                <c:pt idx="18" formatCode="0.0">
                  <c:v>135.4</c:v>
                </c:pt>
                <c:pt idx="19">
                  <c:v>130.69999999999999</c:v>
                </c:pt>
                <c:pt idx="20">
                  <c:v>118.2</c:v>
                </c:pt>
                <c:pt idx="21">
                  <c:v>110.4</c:v>
                </c:pt>
                <c:pt idx="22">
                  <c:v>77.400000000000006</c:v>
                </c:pt>
                <c:pt idx="23">
                  <c:v>152.1</c:v>
                </c:pt>
                <c:pt idx="24">
                  <c:v>99.7</c:v>
                </c:pt>
                <c:pt idx="25">
                  <c:v>75.400000000000006</c:v>
                </c:pt>
                <c:pt idx="26">
                  <c:v>122.5</c:v>
                </c:pt>
                <c:pt idx="27" formatCode="0.0">
                  <c:v>112.3</c:v>
                </c:pt>
                <c:pt idx="28">
                  <c:v>116.4</c:v>
                </c:pt>
                <c:pt idx="29">
                  <c:v>125.5</c:v>
                </c:pt>
                <c:pt idx="30" formatCode="0.0">
                  <c:v>114.3</c:v>
                </c:pt>
                <c:pt idx="31">
                  <c:v>127.9</c:v>
                </c:pt>
                <c:pt idx="32">
                  <c:v>119.6</c:v>
                </c:pt>
                <c:pt idx="33">
                  <c:v>108.7</c:v>
                </c:pt>
                <c:pt idx="34">
                  <c:v>78.5</c:v>
                </c:pt>
                <c:pt idx="35">
                  <c:v>150.80000000000001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3-401C-A45C-CB51B9E56D30}"/>
            </c:ext>
          </c:extLst>
        </c:ser>
        <c:ser>
          <c:idx val="1"/>
          <c:order val="1"/>
          <c:tx>
            <c:strRef>
              <c:f>Sheet1!$AK$206</c:f>
              <c:strCache>
                <c:ptCount val="1"/>
                <c:pt idx="0">
                  <c:v>Forecast (α = 0.2)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Sheet1!$AH$207:$AI$242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Sheet1!$AK$207:$AK$242</c:f>
              <c:numCache>
                <c:formatCode>0.00</c:formatCode>
                <c:ptCount val="36"/>
                <c:pt idx="0">
                  <c:v>0</c:v>
                </c:pt>
                <c:pt idx="1">
                  <c:v>98.2</c:v>
                </c:pt>
                <c:pt idx="2">
                  <c:v>93.12</c:v>
                </c:pt>
                <c:pt idx="3">
                  <c:v>98.376000000000005</c:v>
                </c:pt>
                <c:pt idx="4">
                  <c:v>100.20080000000002</c:v>
                </c:pt>
                <c:pt idx="5">
                  <c:v>103.32064000000001</c:v>
                </c:pt>
                <c:pt idx="6">
                  <c:v>107.39651200000003</c:v>
                </c:pt>
                <c:pt idx="7">
                  <c:v>113.81720960000004</c:v>
                </c:pt>
                <c:pt idx="8">
                  <c:v>117.01376768000004</c:v>
                </c:pt>
                <c:pt idx="9">
                  <c:v>116.79101414400004</c:v>
                </c:pt>
                <c:pt idx="10">
                  <c:v>114.73281131520004</c:v>
                </c:pt>
                <c:pt idx="11">
                  <c:v>107.12624905216003</c:v>
                </c:pt>
                <c:pt idx="12">
                  <c:v>115.56099924172803</c:v>
                </c:pt>
                <c:pt idx="13">
                  <c:v>112.66879939338243</c:v>
                </c:pt>
                <c:pt idx="14">
                  <c:v>105.65503951470595</c:v>
                </c:pt>
                <c:pt idx="15">
                  <c:v>108.88403161176477</c:v>
                </c:pt>
                <c:pt idx="16">
                  <c:v>108.94722528941182</c:v>
                </c:pt>
                <c:pt idx="17">
                  <c:v>110.89778023152945</c:v>
                </c:pt>
                <c:pt idx="18">
                  <c:v>114.13822418522356</c:v>
                </c:pt>
                <c:pt idx="19">
                  <c:v>118.39057934817886</c:v>
                </c:pt>
                <c:pt idx="20">
                  <c:v>120.8524634785431</c:v>
                </c:pt>
                <c:pt idx="21">
                  <c:v>120.32197078283448</c:v>
                </c:pt>
                <c:pt idx="22">
                  <c:v>118.33757662626759</c:v>
                </c:pt>
                <c:pt idx="23">
                  <c:v>110.15006130101408</c:v>
                </c:pt>
                <c:pt idx="24">
                  <c:v>118.54004904081127</c:v>
                </c:pt>
                <c:pt idx="25">
                  <c:v>114.77203923264902</c:v>
                </c:pt>
                <c:pt idx="26">
                  <c:v>106.89763138611922</c:v>
                </c:pt>
                <c:pt idx="27">
                  <c:v>110.01810510889538</c:v>
                </c:pt>
                <c:pt idx="28">
                  <c:v>110.47448408711631</c:v>
                </c:pt>
                <c:pt idx="29">
                  <c:v>111.65958726969305</c:v>
                </c:pt>
                <c:pt idx="30">
                  <c:v>114.42766981575446</c:v>
                </c:pt>
                <c:pt idx="31">
                  <c:v>114.40213585260356</c:v>
                </c:pt>
                <c:pt idx="32">
                  <c:v>117.10170868208286</c:v>
                </c:pt>
                <c:pt idx="33">
                  <c:v>117.6013669456663</c:v>
                </c:pt>
                <c:pt idx="34">
                  <c:v>115.82109355653304</c:v>
                </c:pt>
                <c:pt idx="35">
                  <c:v>108.35687484522644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3-401C-A45C-CB51B9E56D30}"/>
            </c:ext>
          </c:extLst>
        </c:ser>
        <c:ser>
          <c:idx val="2"/>
          <c:order val="2"/>
          <c:tx>
            <c:strRef>
              <c:f>Sheet1!$AL$206</c:f>
              <c:strCache>
                <c:ptCount val="1"/>
                <c:pt idx="0">
                  <c:v>Forecast (α = 0.25)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multiLvlStrRef>
              <c:f>Sheet1!$AH$207:$AI$242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Sheet1!$AL$207:$AL$242</c:f>
              <c:numCache>
                <c:formatCode>0.00</c:formatCode>
                <c:ptCount val="36"/>
                <c:pt idx="0">
                  <c:v>0</c:v>
                </c:pt>
                <c:pt idx="1">
                  <c:v>98.2</c:v>
                </c:pt>
                <c:pt idx="2">
                  <c:v>98.2</c:v>
                </c:pt>
                <c:pt idx="3">
                  <c:v>96.93</c:v>
                </c:pt>
                <c:pt idx="4">
                  <c:v>97.291500000000013</c:v>
                </c:pt>
                <c:pt idx="5">
                  <c:v>98.018825000000007</c:v>
                </c:pt>
                <c:pt idx="6">
                  <c:v>99.344278750000015</c:v>
                </c:pt>
                <c:pt idx="7">
                  <c:v>101.35733706250002</c:v>
                </c:pt>
                <c:pt idx="8">
                  <c:v>104.47230519687503</c:v>
                </c:pt>
                <c:pt idx="9">
                  <c:v>107.60767081765628</c:v>
                </c:pt>
                <c:pt idx="10">
                  <c:v>109.90350664924222</c:v>
                </c:pt>
                <c:pt idx="11">
                  <c:v>111.11083281573167</c:v>
                </c:pt>
                <c:pt idx="12">
                  <c:v>110.11468687483875</c:v>
                </c:pt>
                <c:pt idx="13">
                  <c:v>111.47626496656108</c:v>
                </c:pt>
                <c:pt idx="14">
                  <c:v>111.77439857326641</c:v>
                </c:pt>
                <c:pt idx="15">
                  <c:v>110.24455880862629</c:v>
                </c:pt>
                <c:pt idx="16">
                  <c:v>109.90442700941092</c:v>
                </c:pt>
                <c:pt idx="17">
                  <c:v>109.66512657941115</c:v>
                </c:pt>
                <c:pt idx="18">
                  <c:v>109.97328999244073</c:v>
                </c:pt>
                <c:pt idx="19">
                  <c:v>111.01452354063643</c:v>
                </c:pt>
                <c:pt idx="20">
                  <c:v>112.85853749252203</c:v>
                </c:pt>
                <c:pt idx="21">
                  <c:v>114.8570189890273</c:v>
                </c:pt>
                <c:pt idx="22">
                  <c:v>116.22325693747908</c:v>
                </c:pt>
                <c:pt idx="23">
                  <c:v>116.75183685967622</c:v>
                </c:pt>
                <c:pt idx="24">
                  <c:v>115.10139297001068</c:v>
                </c:pt>
                <c:pt idx="25">
                  <c:v>115.96105698771082</c:v>
                </c:pt>
                <c:pt idx="26">
                  <c:v>115.66380254894537</c:v>
                </c:pt>
                <c:pt idx="27">
                  <c:v>113.47225975823883</c:v>
                </c:pt>
                <c:pt idx="28">
                  <c:v>112.60872109590298</c:v>
                </c:pt>
                <c:pt idx="29">
                  <c:v>112.07516184370631</c:v>
                </c:pt>
                <c:pt idx="30">
                  <c:v>111.97126820020299</c:v>
                </c:pt>
                <c:pt idx="31">
                  <c:v>112.58536860409086</c:v>
                </c:pt>
                <c:pt idx="32">
                  <c:v>113.03956041621905</c:v>
                </c:pt>
                <c:pt idx="33">
                  <c:v>114.055097482685</c:v>
                </c:pt>
                <c:pt idx="34">
                  <c:v>114.94166484843032</c:v>
                </c:pt>
                <c:pt idx="35">
                  <c:v>115.16152202545601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3-401C-A45C-CB51B9E56D30}"/>
            </c:ext>
          </c:extLst>
        </c:ser>
        <c:ser>
          <c:idx val="3"/>
          <c:order val="3"/>
          <c:tx>
            <c:strRef>
              <c:f>Sheet1!$AM$206</c:f>
              <c:strCache>
                <c:ptCount val="1"/>
                <c:pt idx="0">
                  <c:v>Forecast (α = 0.30)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multiLvlStrRef>
              <c:f>Sheet1!$AH$207:$AI$242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Sheet1!$AM$207:$AM$242</c:f>
              <c:numCache>
                <c:formatCode>0.00</c:formatCode>
                <c:ptCount val="36"/>
                <c:pt idx="0">
                  <c:v>0</c:v>
                </c:pt>
                <c:pt idx="1">
                  <c:v>98.2</c:v>
                </c:pt>
                <c:pt idx="2">
                  <c:v>98.199999999999989</c:v>
                </c:pt>
                <c:pt idx="3">
                  <c:v>98.199999999999989</c:v>
                </c:pt>
                <c:pt idx="4">
                  <c:v>97.818999999999988</c:v>
                </c:pt>
                <c:pt idx="5">
                  <c:v>97.660749999999979</c:v>
                </c:pt>
                <c:pt idx="6">
                  <c:v>97.768172499999977</c:v>
                </c:pt>
                <c:pt idx="7">
                  <c:v>98.241004374999989</c:v>
                </c:pt>
                <c:pt idx="8">
                  <c:v>99.17590418124999</c:v>
                </c:pt>
                <c:pt idx="9">
                  <c:v>100.7648244859375</c:v>
                </c:pt>
                <c:pt idx="10">
                  <c:v>102.81767838545312</c:v>
                </c:pt>
                <c:pt idx="11">
                  <c:v>104.94342686458984</c:v>
                </c:pt>
                <c:pt idx="12">
                  <c:v>106.79364864993238</c:v>
                </c:pt>
                <c:pt idx="13">
                  <c:v>107.78996011740428</c:v>
                </c:pt>
                <c:pt idx="14">
                  <c:v>108.89585157215132</c:v>
                </c:pt>
                <c:pt idx="15">
                  <c:v>109.75941567248583</c:v>
                </c:pt>
                <c:pt idx="16">
                  <c:v>109.90495861332798</c:v>
                </c:pt>
                <c:pt idx="17">
                  <c:v>109.90479913215286</c:v>
                </c:pt>
                <c:pt idx="18">
                  <c:v>109.83289736633034</c:v>
                </c:pt>
                <c:pt idx="19">
                  <c:v>109.87501515416346</c:v>
                </c:pt>
                <c:pt idx="20">
                  <c:v>110.21686767010534</c:v>
                </c:pt>
                <c:pt idx="21">
                  <c:v>111.00936861683034</c:v>
                </c:pt>
                <c:pt idx="22">
                  <c:v>112.16366372848944</c:v>
                </c:pt>
                <c:pt idx="23">
                  <c:v>113.38154169118633</c:v>
                </c:pt>
                <c:pt idx="24">
                  <c:v>114.39263024173329</c:v>
                </c:pt>
                <c:pt idx="25">
                  <c:v>114.6052590602165</c:v>
                </c:pt>
                <c:pt idx="26">
                  <c:v>115.01199843846479</c:v>
                </c:pt>
                <c:pt idx="27">
                  <c:v>115.20753967160897</c:v>
                </c:pt>
                <c:pt idx="28">
                  <c:v>114.68695569759791</c:v>
                </c:pt>
                <c:pt idx="29">
                  <c:v>114.06348531708943</c:v>
                </c:pt>
                <c:pt idx="30">
                  <c:v>113.4669882750745</c:v>
                </c:pt>
                <c:pt idx="31">
                  <c:v>113.01827225261303</c:v>
                </c:pt>
                <c:pt idx="32">
                  <c:v>112.88840115805637</c:v>
                </c:pt>
                <c:pt idx="33">
                  <c:v>112.93374893550518</c:v>
                </c:pt>
                <c:pt idx="34">
                  <c:v>113.27015349965912</c:v>
                </c:pt>
                <c:pt idx="35">
                  <c:v>113.77160690429048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F3-401C-A45C-CB51B9E56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79344"/>
        <c:axId val="709392240"/>
      </c:lineChart>
      <c:catAx>
        <c:axId val="70937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97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dirty="0" smtClean="0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97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92240"/>
        <c:crosses val="autoZero"/>
        <c:auto val="1"/>
        <c:lblAlgn val="ctr"/>
        <c:lblOffset val="100"/>
        <c:noMultiLvlLbl val="0"/>
      </c:catAx>
      <c:valAx>
        <c:axId val="709392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dirty="0" smtClean="0"/>
                  <a:t>Amount</a:t>
                </a:r>
                <a:r>
                  <a:rPr lang="en-US" sz="900" baseline="0" dirty="0" smtClean="0"/>
                  <a:t> </a:t>
                </a:r>
                <a:r>
                  <a:rPr lang="en-US" sz="900" baseline="0" dirty="0" err="1" smtClean="0"/>
                  <a:t>bdt</a:t>
                </a:r>
                <a:r>
                  <a:rPr lang="en-US" sz="900" baseline="0" dirty="0" smtClean="0"/>
                  <a:t> (In thousands)</a:t>
                </a:r>
                <a:endParaRPr lang="en-US" sz="900" dirty="0"/>
              </a:p>
            </c:rich>
          </c:tx>
          <c:layout>
            <c:manualLayout>
              <c:xMode val="edge"/>
              <c:yMode val="edge"/>
              <c:x val="2.714898711151879E-2"/>
              <c:y val="0.2104337154202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7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Naïve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Sheet1!$D$16</c:f>
              <c:strCache>
                <c:ptCount val="1"/>
                <c:pt idx="0">
                  <c:v>Absolute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Sheet1!$B$17:$C$52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Sheet1!$D$17:$D$52</c:f>
              <c:numCache>
                <c:formatCode>General</c:formatCode>
                <c:ptCount val="36"/>
                <c:pt idx="0">
                  <c:v>98.2</c:v>
                </c:pt>
                <c:pt idx="1">
                  <c:v>72.8</c:v>
                </c:pt>
                <c:pt idx="2">
                  <c:v>119.4</c:v>
                </c:pt>
                <c:pt idx="3" formatCode="0.0">
                  <c:v>107.5</c:v>
                </c:pt>
                <c:pt idx="4">
                  <c:v>115.8</c:v>
                </c:pt>
                <c:pt idx="5">
                  <c:v>123.7</c:v>
                </c:pt>
                <c:pt idx="6" formatCode="0.0">
                  <c:v>139.5</c:v>
                </c:pt>
                <c:pt idx="7">
                  <c:v>129.80000000000001</c:v>
                </c:pt>
                <c:pt idx="8">
                  <c:v>115.9</c:v>
                </c:pt>
                <c:pt idx="9">
                  <c:v>106.5</c:v>
                </c:pt>
                <c:pt idx="10">
                  <c:v>76.7</c:v>
                </c:pt>
                <c:pt idx="11">
                  <c:v>149.30000000000001</c:v>
                </c:pt>
                <c:pt idx="12">
                  <c:v>101.1</c:v>
                </c:pt>
                <c:pt idx="13">
                  <c:v>77.599999999999994</c:v>
                </c:pt>
                <c:pt idx="14">
                  <c:v>121.8</c:v>
                </c:pt>
                <c:pt idx="15" formatCode="0.0">
                  <c:v>109.2</c:v>
                </c:pt>
                <c:pt idx="16">
                  <c:v>118.7</c:v>
                </c:pt>
                <c:pt idx="17">
                  <c:v>127.1</c:v>
                </c:pt>
                <c:pt idx="18" formatCode="0.0">
                  <c:v>135.4</c:v>
                </c:pt>
                <c:pt idx="19">
                  <c:v>130.69999999999999</c:v>
                </c:pt>
                <c:pt idx="20">
                  <c:v>118.2</c:v>
                </c:pt>
                <c:pt idx="21">
                  <c:v>110.4</c:v>
                </c:pt>
                <c:pt idx="22">
                  <c:v>77.400000000000006</c:v>
                </c:pt>
                <c:pt idx="23">
                  <c:v>152.1</c:v>
                </c:pt>
                <c:pt idx="24">
                  <c:v>99.7</c:v>
                </c:pt>
                <c:pt idx="25">
                  <c:v>75.400000000000006</c:v>
                </c:pt>
                <c:pt idx="26">
                  <c:v>122.5</c:v>
                </c:pt>
                <c:pt idx="27" formatCode="0.0">
                  <c:v>112.3</c:v>
                </c:pt>
                <c:pt idx="28">
                  <c:v>116.4</c:v>
                </c:pt>
                <c:pt idx="29">
                  <c:v>125.5</c:v>
                </c:pt>
                <c:pt idx="30" formatCode="0.0">
                  <c:v>114.3</c:v>
                </c:pt>
                <c:pt idx="31">
                  <c:v>127.9</c:v>
                </c:pt>
                <c:pt idx="32">
                  <c:v>119.6</c:v>
                </c:pt>
                <c:pt idx="33">
                  <c:v>108.7</c:v>
                </c:pt>
                <c:pt idx="34">
                  <c:v>78.5</c:v>
                </c:pt>
                <c:pt idx="35">
                  <c:v>150.80000000000001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4-49F0-9413-E27DF17A3899}"/>
            </c:ext>
          </c:extLst>
        </c:ser>
        <c:ser>
          <c:idx val="1"/>
          <c:order val="1"/>
          <c:tx>
            <c:strRef>
              <c:f>Sheet1!$E$16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Sheet1!$B$17:$C$52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Sheet1!$E$17:$E$52</c:f>
              <c:numCache>
                <c:formatCode>0.00</c:formatCode>
                <c:ptCount val="36"/>
                <c:pt idx="1">
                  <c:v>98.2</c:v>
                </c:pt>
                <c:pt idx="2">
                  <c:v>72.8</c:v>
                </c:pt>
                <c:pt idx="3">
                  <c:v>119.4</c:v>
                </c:pt>
                <c:pt idx="4">
                  <c:v>107.5</c:v>
                </c:pt>
                <c:pt idx="5">
                  <c:v>115.8</c:v>
                </c:pt>
                <c:pt idx="6">
                  <c:v>123.7</c:v>
                </c:pt>
                <c:pt idx="7">
                  <c:v>139.5</c:v>
                </c:pt>
                <c:pt idx="8">
                  <c:v>129.80000000000001</c:v>
                </c:pt>
                <c:pt idx="9">
                  <c:v>115.9</c:v>
                </c:pt>
                <c:pt idx="10">
                  <c:v>106.5</c:v>
                </c:pt>
                <c:pt idx="11">
                  <c:v>76.7</c:v>
                </c:pt>
                <c:pt idx="12">
                  <c:v>149.30000000000001</c:v>
                </c:pt>
                <c:pt idx="13">
                  <c:v>101.1</c:v>
                </c:pt>
                <c:pt idx="14">
                  <c:v>77.599999999999994</c:v>
                </c:pt>
                <c:pt idx="15">
                  <c:v>121.8</c:v>
                </c:pt>
                <c:pt idx="16">
                  <c:v>109.2</c:v>
                </c:pt>
                <c:pt idx="17">
                  <c:v>118.7</c:v>
                </c:pt>
                <c:pt idx="18">
                  <c:v>127.1</c:v>
                </c:pt>
                <c:pt idx="19">
                  <c:v>135.4</c:v>
                </c:pt>
                <c:pt idx="20">
                  <c:v>130.69999999999999</c:v>
                </c:pt>
                <c:pt idx="21">
                  <c:v>118.2</c:v>
                </c:pt>
                <c:pt idx="22">
                  <c:v>110.4</c:v>
                </c:pt>
                <c:pt idx="23">
                  <c:v>77.400000000000006</c:v>
                </c:pt>
                <c:pt idx="24">
                  <c:v>152.1</c:v>
                </c:pt>
                <c:pt idx="25">
                  <c:v>99.7</c:v>
                </c:pt>
                <c:pt idx="26">
                  <c:v>75.400000000000006</c:v>
                </c:pt>
                <c:pt idx="27">
                  <c:v>122.5</c:v>
                </c:pt>
                <c:pt idx="28">
                  <c:v>112.3</c:v>
                </c:pt>
                <c:pt idx="29">
                  <c:v>116.4</c:v>
                </c:pt>
                <c:pt idx="30">
                  <c:v>125.5</c:v>
                </c:pt>
                <c:pt idx="31">
                  <c:v>114.3</c:v>
                </c:pt>
                <c:pt idx="32">
                  <c:v>127.9</c:v>
                </c:pt>
                <c:pt idx="33">
                  <c:v>119.6</c:v>
                </c:pt>
                <c:pt idx="34">
                  <c:v>108.7</c:v>
                </c:pt>
                <c:pt idx="35">
                  <c:v>78.5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4-49F0-9413-E27DF17A3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321824"/>
        <c:axId val="1280322656"/>
      </c:lineChart>
      <c:catAx>
        <c:axId val="12803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97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dirty="0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97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22656"/>
        <c:crosses val="autoZero"/>
        <c:auto val="1"/>
        <c:lblAlgn val="ctr"/>
        <c:lblOffset val="100"/>
        <c:noMultiLvlLbl val="0"/>
      </c:catAx>
      <c:valAx>
        <c:axId val="1280322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dirty="0"/>
                  <a:t>Amount</a:t>
                </a:r>
                <a:r>
                  <a:rPr lang="en-US" sz="1100" baseline="0" dirty="0"/>
                  <a:t> BDT (in thousands)</a:t>
                </a:r>
                <a:endParaRPr lang="en-US" sz="1100" dirty="0"/>
              </a:p>
            </c:rich>
          </c:tx>
          <c:layout>
            <c:manualLayout>
              <c:xMode val="edge"/>
              <c:yMode val="edge"/>
              <c:x val="3.4938830681703816E-2"/>
              <c:y val="0.100118763238209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dirty="0"/>
              <a:t>Average of Past </a:t>
            </a:r>
            <a:r>
              <a:rPr lang="en-US" sz="1600" dirty="0" smtClean="0"/>
              <a:t>Values</a:t>
            </a:r>
            <a:endParaRPr lang="en-US" sz="1600" dirty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0639675774039"/>
          <c:y val="0.23772340007985221"/>
          <c:w val="0.78434786918459165"/>
          <c:h val="0.37666657643818557"/>
        </c:manualLayout>
      </c:layout>
      <c:lineChart>
        <c:grouping val="standard"/>
        <c:varyColors val="0"/>
        <c:ser>
          <c:idx val="0"/>
          <c:order val="0"/>
          <c:tx>
            <c:strRef>
              <c:f>Sheet1!$D$75</c:f>
              <c:strCache>
                <c:ptCount val="1"/>
                <c:pt idx="0">
                  <c:v>Absolute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Sheet1!$B$76:$C$111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Sheet1!$D$76:$D$111</c:f>
              <c:numCache>
                <c:formatCode>General</c:formatCode>
                <c:ptCount val="36"/>
                <c:pt idx="0">
                  <c:v>98.2</c:v>
                </c:pt>
                <c:pt idx="1">
                  <c:v>72.8</c:v>
                </c:pt>
                <c:pt idx="2">
                  <c:v>119.4</c:v>
                </c:pt>
                <c:pt idx="3" formatCode="0.0">
                  <c:v>107.5</c:v>
                </c:pt>
                <c:pt idx="4">
                  <c:v>115.8</c:v>
                </c:pt>
                <c:pt idx="5">
                  <c:v>123.7</c:v>
                </c:pt>
                <c:pt idx="6" formatCode="0.0">
                  <c:v>139.5</c:v>
                </c:pt>
                <c:pt idx="7">
                  <c:v>129.80000000000001</c:v>
                </c:pt>
                <c:pt idx="8">
                  <c:v>115.9</c:v>
                </c:pt>
                <c:pt idx="9">
                  <c:v>106.5</c:v>
                </c:pt>
                <c:pt idx="10">
                  <c:v>76.7</c:v>
                </c:pt>
                <c:pt idx="11">
                  <c:v>149.30000000000001</c:v>
                </c:pt>
                <c:pt idx="12">
                  <c:v>101.1</c:v>
                </c:pt>
                <c:pt idx="13">
                  <c:v>77.599999999999994</c:v>
                </c:pt>
                <c:pt idx="14">
                  <c:v>121.8</c:v>
                </c:pt>
                <c:pt idx="15" formatCode="0.0">
                  <c:v>109.2</c:v>
                </c:pt>
                <c:pt idx="16">
                  <c:v>118.7</c:v>
                </c:pt>
                <c:pt idx="17">
                  <c:v>127.1</c:v>
                </c:pt>
                <c:pt idx="18" formatCode="0.0">
                  <c:v>135.4</c:v>
                </c:pt>
                <c:pt idx="19">
                  <c:v>130.69999999999999</c:v>
                </c:pt>
                <c:pt idx="20">
                  <c:v>118.2</c:v>
                </c:pt>
                <c:pt idx="21">
                  <c:v>110.4</c:v>
                </c:pt>
                <c:pt idx="22">
                  <c:v>77.400000000000006</c:v>
                </c:pt>
                <c:pt idx="23">
                  <c:v>152.1</c:v>
                </c:pt>
                <c:pt idx="24">
                  <c:v>99.7</c:v>
                </c:pt>
                <c:pt idx="25">
                  <c:v>75.400000000000006</c:v>
                </c:pt>
                <c:pt idx="26">
                  <c:v>122.5</c:v>
                </c:pt>
                <c:pt idx="27" formatCode="0.0">
                  <c:v>112.3</c:v>
                </c:pt>
                <c:pt idx="28">
                  <c:v>116.4</c:v>
                </c:pt>
                <c:pt idx="29">
                  <c:v>125.5</c:v>
                </c:pt>
                <c:pt idx="30" formatCode="0.0">
                  <c:v>114.3</c:v>
                </c:pt>
                <c:pt idx="31">
                  <c:v>127.9</c:v>
                </c:pt>
                <c:pt idx="32">
                  <c:v>119.6</c:v>
                </c:pt>
                <c:pt idx="33">
                  <c:v>108.7</c:v>
                </c:pt>
                <c:pt idx="34">
                  <c:v>78.5</c:v>
                </c:pt>
                <c:pt idx="35">
                  <c:v>150.80000000000001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9-47C8-925F-2FC17EC5B315}"/>
            </c:ext>
          </c:extLst>
        </c:ser>
        <c:ser>
          <c:idx val="1"/>
          <c:order val="1"/>
          <c:tx>
            <c:strRef>
              <c:f>Sheet1!$E$75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Sheet1!$B$76:$C$111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Sheet1!$E$76:$E$111</c:f>
              <c:numCache>
                <c:formatCode>0.00</c:formatCode>
                <c:ptCount val="36"/>
                <c:pt idx="0">
                  <c:v>0</c:v>
                </c:pt>
                <c:pt idx="1">
                  <c:v>85.5</c:v>
                </c:pt>
                <c:pt idx="2">
                  <c:v>96.8</c:v>
                </c:pt>
                <c:pt idx="3">
                  <c:v>99.474999999999994</c:v>
                </c:pt>
                <c:pt idx="4">
                  <c:v>102.73999999999998</c:v>
                </c:pt>
                <c:pt idx="5">
                  <c:v>106.23333333333333</c:v>
                </c:pt>
                <c:pt idx="6">
                  <c:v>110.98571428571428</c:v>
                </c:pt>
                <c:pt idx="7">
                  <c:v>113.33750000000001</c:v>
                </c:pt>
                <c:pt idx="8">
                  <c:v>113.62222222222222</c:v>
                </c:pt>
                <c:pt idx="9">
                  <c:v>112.91</c:v>
                </c:pt>
                <c:pt idx="10">
                  <c:v>109.61818181818181</c:v>
                </c:pt>
                <c:pt idx="11">
                  <c:v>112.925</c:v>
                </c:pt>
                <c:pt idx="12">
                  <c:v>112.0153846153846</c:v>
                </c:pt>
                <c:pt idx="13">
                  <c:v>109.55714285714284</c:v>
                </c:pt>
                <c:pt idx="14">
                  <c:v>110.37333333333331</c:v>
                </c:pt>
                <c:pt idx="15">
                  <c:v>110.29999999999998</c:v>
                </c:pt>
                <c:pt idx="16">
                  <c:v>110.79411764705881</c:v>
                </c:pt>
                <c:pt idx="17">
                  <c:v>111.69999999999999</c:v>
                </c:pt>
                <c:pt idx="18">
                  <c:v>112.9473684210526</c:v>
                </c:pt>
                <c:pt idx="19">
                  <c:v>113.83499999999997</c:v>
                </c:pt>
                <c:pt idx="20">
                  <c:v>114.0428571428571</c:v>
                </c:pt>
                <c:pt idx="21">
                  <c:v>113.8772727272727</c:v>
                </c:pt>
                <c:pt idx="22">
                  <c:v>112.29130434782606</c:v>
                </c:pt>
                <c:pt idx="23">
                  <c:v>113.94999999999997</c:v>
                </c:pt>
                <c:pt idx="24">
                  <c:v>113.37999999999997</c:v>
                </c:pt>
                <c:pt idx="25">
                  <c:v>111.91923076923074</c:v>
                </c:pt>
                <c:pt idx="26">
                  <c:v>112.31111111111107</c:v>
                </c:pt>
                <c:pt idx="27">
                  <c:v>112.31071428571427</c:v>
                </c:pt>
                <c:pt idx="28">
                  <c:v>112.45172413793101</c:v>
                </c:pt>
                <c:pt idx="29">
                  <c:v>112.88666666666664</c:v>
                </c:pt>
                <c:pt idx="30">
                  <c:v>112.93225806451612</c:v>
                </c:pt>
                <c:pt idx="31">
                  <c:v>113.39999999999999</c:v>
                </c:pt>
                <c:pt idx="32">
                  <c:v>113.58787878787878</c:v>
                </c:pt>
                <c:pt idx="33">
                  <c:v>113.4441176470588</c:v>
                </c:pt>
                <c:pt idx="34">
                  <c:v>112.44571428571427</c:v>
                </c:pt>
                <c:pt idx="35">
                  <c:v>113.51111111111111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9-47C8-925F-2FC17EC5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583632"/>
        <c:axId val="1524581968"/>
      </c:lineChart>
      <c:catAx>
        <c:axId val="152458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97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97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81968"/>
        <c:crosses val="autoZero"/>
        <c:auto val="1"/>
        <c:lblAlgn val="ctr"/>
        <c:lblOffset val="100"/>
        <c:noMultiLvlLbl val="0"/>
      </c:catAx>
      <c:valAx>
        <c:axId val="1524581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97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Amounts BDT (in thousands)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97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8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64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1197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064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64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1197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064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64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1197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064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64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1197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064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261938</xdr:colOff>
      <xdr:row>170</xdr:row>
      <xdr:rowOff>0</xdr:rowOff>
    </xdr:from>
    <xdr:to>
      <xdr:col>37</xdr:col>
      <xdr:colOff>645118</xdr:colOff>
      <xdr:row>186</xdr:row>
      <xdr:rowOff>94673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404813</xdr:colOff>
      <xdr:row>244</xdr:row>
      <xdr:rowOff>47625</xdr:rowOff>
    </xdr:from>
    <xdr:to>
      <xdr:col>38</xdr:col>
      <xdr:colOff>787993</xdr:colOff>
      <xdr:row>260</xdr:row>
      <xdr:rowOff>79640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47626</xdr:colOff>
      <xdr:row>21</xdr:row>
      <xdr:rowOff>0</xdr:rowOff>
    </xdr:from>
    <xdr:to>
      <xdr:col>18</xdr:col>
      <xdr:colOff>81889</xdr:colOff>
      <xdr:row>36</xdr:row>
      <xdr:rowOff>97960</xdr:rowOff>
    </xdr:to>
    <xdr:graphicFrame macro="">
      <xdr:nvGraphicFramePr>
        <xdr:cNvPr id="13" name="Google Shape;94;p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80</xdr:row>
      <xdr:rowOff>0</xdr:rowOff>
    </xdr:from>
    <xdr:to>
      <xdr:col>18</xdr:col>
      <xdr:colOff>34264</xdr:colOff>
      <xdr:row>95</xdr:row>
      <xdr:rowOff>97960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A8:M12">
  <tableColumns count="13">
    <tableColumn id="1" name="Year"/>
    <tableColumn id="2" name="January"/>
    <tableColumn id="3" name="February"/>
    <tableColumn id="4" name="March"/>
    <tableColumn id="5" name="April"/>
    <tableColumn id="6" name="May"/>
    <tableColumn id="7" name="June"/>
    <tableColumn id="8" name="July"/>
    <tableColumn id="9" name="August"/>
    <tableColumn id="10" name="September"/>
    <tableColumn id="11" name="October"/>
    <tableColumn id="12" name="November"/>
    <tableColumn id="13" name="Decembe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31"/>
  <sheetViews>
    <sheetView tabSelected="1" topLeftCell="A4" zoomScaleNormal="100" workbookViewId="0">
      <selection activeCell="B13" sqref="B13"/>
    </sheetView>
  </sheetViews>
  <sheetFormatPr defaultColWidth="12.625" defaultRowHeight="15" customHeight="1"/>
  <cols>
    <col min="1" max="1" width="13.375" customWidth="1"/>
    <col min="2" max="2" width="13.75" customWidth="1"/>
    <col min="3" max="3" width="10.625" customWidth="1"/>
    <col min="4" max="4" width="10.875" customWidth="1"/>
    <col min="5" max="5" width="10.625" customWidth="1"/>
    <col min="6" max="6" width="11.875" customWidth="1"/>
    <col min="7" max="7" width="14.125" customWidth="1"/>
    <col min="8" max="8" width="13.625" customWidth="1"/>
    <col min="9" max="9" width="13.125" customWidth="1"/>
    <col min="10" max="10" width="11.75" customWidth="1"/>
    <col min="11" max="11" width="10.75" customWidth="1"/>
    <col min="12" max="12" width="13.375" customWidth="1"/>
    <col min="13" max="13" width="10.75" customWidth="1"/>
    <col min="14" max="15" width="10.625" customWidth="1"/>
    <col min="16" max="16" width="15.25" customWidth="1"/>
    <col min="17" max="24" width="8.625" customWidth="1"/>
    <col min="25" max="25" width="11" customWidth="1"/>
    <col min="26" max="26" width="8.625" customWidth="1"/>
  </cols>
  <sheetData>
    <row r="1" spans="1:31" ht="14.25">
      <c r="A1" s="1" t="s">
        <v>0</v>
      </c>
      <c r="C1" s="2"/>
      <c r="E1" s="3"/>
      <c r="H1" s="4"/>
    </row>
    <row r="2" spans="1:31" ht="15.75" customHeight="1">
      <c r="A2" s="5" t="s">
        <v>1</v>
      </c>
      <c r="C2" s="2"/>
      <c r="E2" s="3"/>
      <c r="H2" s="6"/>
    </row>
    <row r="3" spans="1:31" ht="15.75" customHeight="1">
      <c r="A3" s="5" t="s">
        <v>2</v>
      </c>
      <c r="C3" s="7"/>
      <c r="E3" s="3"/>
      <c r="H3" s="6"/>
    </row>
    <row r="4" spans="1:31" ht="15.75" customHeight="1">
      <c r="A4" s="5" t="s">
        <v>3</v>
      </c>
      <c r="C4" s="2"/>
      <c r="E4" s="3"/>
      <c r="H4" s="6"/>
    </row>
    <row r="5" spans="1:31" ht="15.75" customHeight="1">
      <c r="A5" s="5" t="s">
        <v>4</v>
      </c>
      <c r="B5" s="8" t="s">
        <v>5</v>
      </c>
      <c r="C5" s="9" t="s">
        <v>6</v>
      </c>
      <c r="D5" s="8" t="s">
        <v>7</v>
      </c>
      <c r="E5" s="3"/>
      <c r="H5" s="6"/>
    </row>
    <row r="6" spans="1:31" ht="15.75" customHeight="1">
      <c r="C6" s="2"/>
      <c r="E6" s="3"/>
      <c r="F6" s="10" t="s">
        <v>8</v>
      </c>
      <c r="G6" s="11"/>
      <c r="H6" s="12" t="s">
        <v>9</v>
      </c>
    </row>
    <row r="7" spans="1:31" ht="15.75" customHeight="1">
      <c r="A7" s="10" t="s">
        <v>10</v>
      </c>
      <c r="C7" s="2"/>
      <c r="E7" s="3"/>
      <c r="H7" s="6"/>
    </row>
    <row r="8" spans="1:31" ht="15.75" customHeight="1">
      <c r="A8" s="13" t="s">
        <v>11</v>
      </c>
      <c r="B8" s="14" t="s">
        <v>12</v>
      </c>
      <c r="C8" s="14" t="s">
        <v>13</v>
      </c>
      <c r="D8" s="14" t="s">
        <v>14</v>
      </c>
      <c r="E8" s="15" t="s">
        <v>15</v>
      </c>
      <c r="F8" s="14" t="s">
        <v>16</v>
      </c>
      <c r="G8" s="14" t="s">
        <v>17</v>
      </c>
      <c r="H8" s="16" t="s">
        <v>18</v>
      </c>
      <c r="I8" s="14" t="s">
        <v>19</v>
      </c>
      <c r="J8" s="14" t="s">
        <v>20</v>
      </c>
      <c r="K8" s="14" t="s">
        <v>21</v>
      </c>
      <c r="L8" s="14" t="s">
        <v>22</v>
      </c>
      <c r="M8" s="14" t="s">
        <v>23</v>
      </c>
    </row>
    <row r="9" spans="1:31" ht="15.75" customHeight="1">
      <c r="A9" s="17">
        <v>2021</v>
      </c>
      <c r="B9" s="18">
        <v>98.2</v>
      </c>
      <c r="C9" s="18">
        <v>72.8</v>
      </c>
      <c r="D9" s="18">
        <v>119.4</v>
      </c>
      <c r="E9" s="19">
        <v>107.5</v>
      </c>
      <c r="F9" s="18">
        <v>115.8</v>
      </c>
      <c r="G9" s="18">
        <v>123.7</v>
      </c>
      <c r="H9" s="20">
        <v>139.5</v>
      </c>
      <c r="I9" s="18">
        <v>129.80000000000001</v>
      </c>
      <c r="J9" s="18">
        <v>115.9</v>
      </c>
      <c r="K9" s="18">
        <v>106.5</v>
      </c>
      <c r="L9" s="18">
        <v>76.7</v>
      </c>
      <c r="M9" s="18">
        <v>149.30000000000001</v>
      </c>
    </row>
    <row r="10" spans="1:31" ht="15.75" customHeight="1">
      <c r="A10" s="17">
        <v>2022</v>
      </c>
      <c r="B10" s="18">
        <v>101.1</v>
      </c>
      <c r="C10" s="18">
        <v>77.599999999999994</v>
      </c>
      <c r="D10" s="18">
        <v>121.8</v>
      </c>
      <c r="E10" s="19">
        <v>109.2</v>
      </c>
      <c r="F10" s="18">
        <v>118.7</v>
      </c>
      <c r="G10" s="18">
        <v>127.1</v>
      </c>
      <c r="H10" s="20">
        <v>135.4</v>
      </c>
      <c r="I10" s="17">
        <v>130.69999999999999</v>
      </c>
      <c r="J10" s="18">
        <v>118.2</v>
      </c>
      <c r="K10" s="18">
        <v>110.4</v>
      </c>
      <c r="L10" s="18">
        <v>77.400000000000006</v>
      </c>
      <c r="M10" s="18">
        <v>152.1</v>
      </c>
    </row>
    <row r="11" spans="1:31" ht="15.75" customHeight="1">
      <c r="A11" s="107">
        <v>2023</v>
      </c>
      <c r="B11" s="107">
        <v>99.7</v>
      </c>
      <c r="C11" s="107">
        <v>75.400000000000006</v>
      </c>
      <c r="D11" s="107">
        <v>122.5</v>
      </c>
      <c r="E11" s="108">
        <v>112.3</v>
      </c>
      <c r="F11" s="107">
        <v>116.4</v>
      </c>
      <c r="G11" s="107">
        <v>125.5</v>
      </c>
      <c r="H11" s="109">
        <v>114.3</v>
      </c>
      <c r="I11" s="110">
        <v>127.9</v>
      </c>
      <c r="J11" s="111">
        <v>119.6</v>
      </c>
      <c r="K11" s="111">
        <v>108.7</v>
      </c>
      <c r="L11" s="111">
        <v>78.5</v>
      </c>
      <c r="M11" s="111">
        <v>150.80000000000001</v>
      </c>
    </row>
    <row r="12" spans="1:31" ht="15.75" customHeight="1">
      <c r="A12" s="112">
        <v>2024</v>
      </c>
      <c r="B12" s="113"/>
      <c r="C12" s="113"/>
      <c r="D12" s="113"/>
      <c r="E12" s="114"/>
      <c r="F12" s="113"/>
      <c r="G12" s="113"/>
      <c r="H12" s="113"/>
      <c r="I12" s="113"/>
      <c r="J12" s="113"/>
      <c r="K12" s="113"/>
      <c r="L12" s="113"/>
      <c r="M12" s="113"/>
    </row>
    <row r="13" spans="1:31" ht="15.75" customHeight="1">
      <c r="A13" s="7"/>
      <c r="B13" s="7"/>
      <c r="C13" s="7"/>
      <c r="D13" s="7"/>
      <c r="E13" s="21"/>
      <c r="F13" s="7"/>
      <c r="G13" s="7"/>
      <c r="H13" s="22"/>
      <c r="I13" s="23"/>
      <c r="J13" s="2"/>
      <c r="K13" s="2"/>
      <c r="L13" s="2"/>
      <c r="M13" s="2"/>
    </row>
    <row r="14" spans="1:31" ht="15.75" customHeight="1">
      <c r="A14" s="7"/>
      <c r="B14" s="7"/>
      <c r="C14" s="7"/>
      <c r="D14" s="7"/>
      <c r="E14" s="21"/>
      <c r="F14" s="7"/>
      <c r="G14" s="7"/>
      <c r="H14" s="22"/>
      <c r="I14" s="23"/>
      <c r="J14" s="2"/>
      <c r="K14" s="2"/>
      <c r="L14" s="2"/>
      <c r="M14" s="2"/>
    </row>
    <row r="15" spans="1:31" ht="15.75" customHeight="1">
      <c r="A15" s="7"/>
      <c r="B15" s="100" t="s">
        <v>24</v>
      </c>
      <c r="C15" s="101"/>
      <c r="D15" s="101"/>
      <c r="E15" s="101"/>
      <c r="F15" s="101"/>
      <c r="G15" s="101"/>
      <c r="H15" s="101"/>
      <c r="I15" s="101"/>
      <c r="J15" s="102"/>
      <c r="K15" s="2"/>
      <c r="L15" s="2"/>
      <c r="M15" s="2"/>
    </row>
    <row r="16" spans="1:31" ht="60">
      <c r="A16" s="7"/>
      <c r="B16" s="24" t="s">
        <v>11</v>
      </c>
      <c r="C16" s="24" t="s">
        <v>25</v>
      </c>
      <c r="D16" s="25" t="s">
        <v>26</v>
      </c>
      <c r="E16" s="26" t="s">
        <v>27</v>
      </c>
      <c r="F16" s="25" t="s">
        <v>28</v>
      </c>
      <c r="G16" s="25" t="s">
        <v>29</v>
      </c>
      <c r="H16" s="27" t="s">
        <v>30</v>
      </c>
      <c r="I16" s="25" t="s">
        <v>31</v>
      </c>
      <c r="J16" s="25" t="s">
        <v>32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14" ht="15.75" customHeight="1">
      <c r="A17" s="7"/>
      <c r="B17" s="103">
        <v>2021</v>
      </c>
      <c r="C17" s="28" t="s">
        <v>12</v>
      </c>
      <c r="D17" s="29">
        <v>98.2</v>
      </c>
      <c r="E17" s="30"/>
      <c r="F17" s="31"/>
      <c r="G17" s="31"/>
      <c r="H17" s="31"/>
      <c r="I17" s="31"/>
      <c r="J17" s="31"/>
      <c r="K17" s="2"/>
      <c r="L17" s="2"/>
      <c r="M17" s="2"/>
    </row>
    <row r="18" spans="1:14" ht="15.75" customHeight="1">
      <c r="A18" s="7"/>
      <c r="B18" s="96"/>
      <c r="C18" s="28" t="s">
        <v>13</v>
      </c>
      <c r="D18" s="29">
        <v>72.8</v>
      </c>
      <c r="E18" s="32">
        <v>98.2</v>
      </c>
      <c r="F18" s="30">
        <f t="shared" ref="F18:F52" si="0">D18-E18</f>
        <v>-25.400000000000006</v>
      </c>
      <c r="G18" s="33">
        <f t="shared" ref="G18:G52" si="1">ABS(F18)</f>
        <v>25.400000000000006</v>
      </c>
      <c r="H18" s="31">
        <f t="shared" ref="H18:H52" si="2">F18^2</f>
        <v>645.16000000000031</v>
      </c>
      <c r="I18" s="34">
        <f t="shared" ref="I18:I52" si="3">F18/D18*100</f>
        <v>-34.890109890109898</v>
      </c>
      <c r="J18" s="35">
        <f t="shared" ref="J18:J52" si="4">ABS(I18)</f>
        <v>34.890109890109898</v>
      </c>
      <c r="K18" s="2"/>
      <c r="L18" s="2"/>
      <c r="M18" s="2"/>
    </row>
    <row r="19" spans="1:14" ht="15.75" customHeight="1">
      <c r="A19" s="7"/>
      <c r="B19" s="96"/>
      <c r="C19" s="28" t="s">
        <v>14</v>
      </c>
      <c r="D19" s="29">
        <v>119.4</v>
      </c>
      <c r="E19" s="32">
        <v>72.8</v>
      </c>
      <c r="F19" s="30">
        <f t="shared" si="0"/>
        <v>46.600000000000009</v>
      </c>
      <c r="G19" s="33">
        <f t="shared" si="1"/>
        <v>46.600000000000009</v>
      </c>
      <c r="H19" s="31">
        <f t="shared" si="2"/>
        <v>2171.5600000000009</v>
      </c>
      <c r="I19" s="34">
        <f t="shared" si="3"/>
        <v>39.028475711892803</v>
      </c>
      <c r="J19" s="35">
        <f t="shared" si="4"/>
        <v>39.028475711892803</v>
      </c>
      <c r="K19" s="2"/>
      <c r="L19" s="2"/>
      <c r="M19" s="2"/>
      <c r="N19" s="36" t="s">
        <v>33</v>
      </c>
    </row>
    <row r="20" spans="1:14" ht="15.75" customHeight="1">
      <c r="A20" s="7"/>
      <c r="B20" s="96"/>
      <c r="C20" s="28" t="s">
        <v>15</v>
      </c>
      <c r="D20" s="37">
        <v>107.5</v>
      </c>
      <c r="E20" s="32">
        <v>119.4</v>
      </c>
      <c r="F20" s="31">
        <f t="shared" si="0"/>
        <v>-11.900000000000006</v>
      </c>
      <c r="G20" s="33">
        <f t="shared" si="1"/>
        <v>11.900000000000006</v>
      </c>
      <c r="H20" s="31">
        <f t="shared" si="2"/>
        <v>141.61000000000013</v>
      </c>
      <c r="I20" s="34">
        <f t="shared" si="3"/>
        <v>-11.069767441860471</v>
      </c>
      <c r="J20" s="35">
        <f t="shared" si="4"/>
        <v>11.069767441860471</v>
      </c>
      <c r="K20" s="2"/>
      <c r="L20" s="2"/>
      <c r="M20" s="2"/>
    </row>
    <row r="21" spans="1:14" ht="15.75" customHeight="1">
      <c r="A21" s="7"/>
      <c r="B21" s="96"/>
      <c r="C21" s="28" t="s">
        <v>16</v>
      </c>
      <c r="D21" s="29">
        <v>115.8</v>
      </c>
      <c r="E21" s="32">
        <v>107.5</v>
      </c>
      <c r="F21" s="31">
        <f t="shared" si="0"/>
        <v>8.2999999999999972</v>
      </c>
      <c r="G21" s="33">
        <f t="shared" si="1"/>
        <v>8.2999999999999972</v>
      </c>
      <c r="H21" s="31">
        <f t="shared" si="2"/>
        <v>68.889999999999958</v>
      </c>
      <c r="I21" s="34">
        <f t="shared" si="3"/>
        <v>7.1675302245250414</v>
      </c>
      <c r="J21" s="35">
        <f t="shared" si="4"/>
        <v>7.1675302245250414</v>
      </c>
      <c r="K21" s="2"/>
      <c r="L21" s="2"/>
      <c r="M21" s="2"/>
    </row>
    <row r="22" spans="1:14" ht="15.75" customHeight="1">
      <c r="A22" s="7"/>
      <c r="B22" s="96"/>
      <c r="C22" s="28" t="s">
        <v>17</v>
      </c>
      <c r="D22" s="29">
        <v>123.7</v>
      </c>
      <c r="E22" s="32">
        <v>115.8</v>
      </c>
      <c r="F22" s="30">
        <f t="shared" si="0"/>
        <v>7.9000000000000057</v>
      </c>
      <c r="G22" s="33">
        <f t="shared" si="1"/>
        <v>7.9000000000000057</v>
      </c>
      <c r="H22" s="31">
        <f t="shared" si="2"/>
        <v>62.410000000000089</v>
      </c>
      <c r="I22" s="34">
        <f t="shared" si="3"/>
        <v>6.3864187550525502</v>
      </c>
      <c r="J22" s="35">
        <f t="shared" si="4"/>
        <v>6.3864187550525502</v>
      </c>
      <c r="K22" s="2"/>
      <c r="L22" s="2"/>
      <c r="M22" s="2"/>
    </row>
    <row r="23" spans="1:14" ht="15.75" customHeight="1">
      <c r="A23" s="7"/>
      <c r="B23" s="96"/>
      <c r="C23" s="28" t="s">
        <v>18</v>
      </c>
      <c r="D23" s="37">
        <v>139.5</v>
      </c>
      <c r="E23" s="32">
        <v>123.7</v>
      </c>
      <c r="F23" s="31">
        <f t="shared" si="0"/>
        <v>15.799999999999997</v>
      </c>
      <c r="G23" s="33">
        <f t="shared" si="1"/>
        <v>15.799999999999997</v>
      </c>
      <c r="H23" s="31">
        <f t="shared" si="2"/>
        <v>249.6399999999999</v>
      </c>
      <c r="I23" s="34">
        <f t="shared" si="3"/>
        <v>11.326164874551969</v>
      </c>
      <c r="J23" s="35">
        <f t="shared" si="4"/>
        <v>11.326164874551969</v>
      </c>
      <c r="K23" s="2"/>
      <c r="L23" s="2"/>
      <c r="M23" s="2"/>
    </row>
    <row r="24" spans="1:14" ht="15.75" customHeight="1">
      <c r="A24" s="7"/>
      <c r="B24" s="96"/>
      <c r="C24" s="28" t="s">
        <v>19</v>
      </c>
      <c r="D24" s="29">
        <v>129.80000000000001</v>
      </c>
      <c r="E24" s="32">
        <v>139.5</v>
      </c>
      <c r="F24" s="31">
        <f t="shared" si="0"/>
        <v>-9.6999999999999886</v>
      </c>
      <c r="G24" s="33">
        <f t="shared" si="1"/>
        <v>9.6999999999999886</v>
      </c>
      <c r="H24" s="31">
        <f t="shared" si="2"/>
        <v>94.089999999999776</v>
      </c>
      <c r="I24" s="34">
        <f t="shared" si="3"/>
        <v>-7.4730354391371243</v>
      </c>
      <c r="J24" s="35">
        <f t="shared" si="4"/>
        <v>7.4730354391371243</v>
      </c>
      <c r="K24" s="2"/>
      <c r="L24" s="2"/>
      <c r="M24" s="2"/>
    </row>
    <row r="25" spans="1:14" ht="15.75" customHeight="1">
      <c r="A25" s="7"/>
      <c r="B25" s="96"/>
      <c r="C25" s="28" t="s">
        <v>20</v>
      </c>
      <c r="D25" s="29">
        <v>115.9</v>
      </c>
      <c r="E25" s="32">
        <v>129.80000000000001</v>
      </c>
      <c r="F25" s="30">
        <f t="shared" si="0"/>
        <v>-13.900000000000006</v>
      </c>
      <c r="G25" s="33">
        <f t="shared" si="1"/>
        <v>13.900000000000006</v>
      </c>
      <c r="H25" s="31">
        <f t="shared" si="2"/>
        <v>193.21000000000015</v>
      </c>
      <c r="I25" s="34">
        <f t="shared" si="3"/>
        <v>-11.993097497842973</v>
      </c>
      <c r="J25" s="35">
        <f t="shared" si="4"/>
        <v>11.993097497842973</v>
      </c>
      <c r="K25" s="2"/>
      <c r="L25" s="2"/>
      <c r="M25" s="2"/>
    </row>
    <row r="26" spans="1:14" ht="15.75" customHeight="1">
      <c r="A26" s="7"/>
      <c r="B26" s="96"/>
      <c r="C26" s="28" t="s">
        <v>21</v>
      </c>
      <c r="D26" s="29">
        <v>106.5</v>
      </c>
      <c r="E26" s="32">
        <v>115.9</v>
      </c>
      <c r="F26" s="30">
        <f t="shared" si="0"/>
        <v>-9.4000000000000057</v>
      </c>
      <c r="G26" s="33">
        <f t="shared" si="1"/>
        <v>9.4000000000000057</v>
      </c>
      <c r="H26" s="31">
        <f t="shared" si="2"/>
        <v>88.360000000000113</v>
      </c>
      <c r="I26" s="34">
        <f t="shared" si="3"/>
        <v>-8.8262910798122132</v>
      </c>
      <c r="J26" s="35">
        <f t="shared" si="4"/>
        <v>8.8262910798122132</v>
      </c>
      <c r="K26" s="2"/>
      <c r="L26" s="2"/>
      <c r="M26" s="2"/>
    </row>
    <row r="27" spans="1:14" ht="15.75" customHeight="1">
      <c r="A27" s="7"/>
      <c r="B27" s="96"/>
      <c r="C27" s="28" t="s">
        <v>22</v>
      </c>
      <c r="D27" s="29">
        <v>76.7</v>
      </c>
      <c r="E27" s="32">
        <v>106.5</v>
      </c>
      <c r="F27" s="30">
        <f t="shared" si="0"/>
        <v>-29.799999999999997</v>
      </c>
      <c r="G27" s="33">
        <f t="shared" si="1"/>
        <v>29.799999999999997</v>
      </c>
      <c r="H27" s="31">
        <f t="shared" si="2"/>
        <v>888.03999999999985</v>
      </c>
      <c r="I27" s="34">
        <f t="shared" si="3"/>
        <v>-38.852672750977831</v>
      </c>
      <c r="J27" s="35">
        <f t="shared" si="4"/>
        <v>38.852672750977831</v>
      </c>
      <c r="K27" s="2"/>
      <c r="L27" s="2"/>
      <c r="M27" s="2"/>
    </row>
    <row r="28" spans="1:14" ht="15.75" customHeight="1">
      <c r="A28" s="7"/>
      <c r="B28" s="97"/>
      <c r="C28" s="28" t="s">
        <v>23</v>
      </c>
      <c r="D28" s="29">
        <v>149.30000000000001</v>
      </c>
      <c r="E28" s="32">
        <v>76.7</v>
      </c>
      <c r="F28" s="30">
        <f t="shared" si="0"/>
        <v>72.600000000000009</v>
      </c>
      <c r="G28" s="33">
        <f t="shared" si="1"/>
        <v>72.600000000000009</v>
      </c>
      <c r="H28" s="31">
        <f t="shared" si="2"/>
        <v>5270.7600000000011</v>
      </c>
      <c r="I28" s="34">
        <f t="shared" si="3"/>
        <v>48.626925653047557</v>
      </c>
      <c r="J28" s="35">
        <f t="shared" si="4"/>
        <v>48.626925653047557</v>
      </c>
      <c r="K28" s="2"/>
      <c r="L28" s="2"/>
      <c r="M28" s="2"/>
    </row>
    <row r="29" spans="1:14" ht="15.75" customHeight="1">
      <c r="A29" s="7"/>
      <c r="B29" s="98">
        <v>2022</v>
      </c>
      <c r="C29" s="38" t="s">
        <v>12</v>
      </c>
      <c r="D29" s="39">
        <v>101.1</v>
      </c>
      <c r="E29" s="32">
        <v>149.30000000000001</v>
      </c>
      <c r="F29" s="30">
        <f t="shared" si="0"/>
        <v>-48.200000000000017</v>
      </c>
      <c r="G29" s="33">
        <f t="shared" si="1"/>
        <v>48.200000000000017</v>
      </c>
      <c r="H29" s="31">
        <f t="shared" si="2"/>
        <v>2323.2400000000016</v>
      </c>
      <c r="I29" s="34">
        <f t="shared" si="3"/>
        <v>-47.675568743818019</v>
      </c>
      <c r="J29" s="35">
        <f t="shared" si="4"/>
        <v>47.675568743818019</v>
      </c>
      <c r="K29" s="2"/>
      <c r="L29" s="2"/>
      <c r="M29" s="2"/>
    </row>
    <row r="30" spans="1:14" ht="15.75" customHeight="1">
      <c r="A30" s="7"/>
      <c r="B30" s="96"/>
      <c r="C30" s="38" t="s">
        <v>13</v>
      </c>
      <c r="D30" s="39">
        <v>77.599999999999994</v>
      </c>
      <c r="E30" s="40">
        <v>101.1</v>
      </c>
      <c r="F30" s="30">
        <f t="shared" si="0"/>
        <v>-23.5</v>
      </c>
      <c r="G30" s="33">
        <f t="shared" si="1"/>
        <v>23.5</v>
      </c>
      <c r="H30" s="31">
        <f t="shared" si="2"/>
        <v>552.25</v>
      </c>
      <c r="I30" s="34">
        <f t="shared" si="3"/>
        <v>-30.28350515463918</v>
      </c>
      <c r="J30" s="35">
        <f t="shared" si="4"/>
        <v>30.28350515463918</v>
      </c>
      <c r="K30" s="2"/>
      <c r="L30" s="2"/>
      <c r="M30" s="2"/>
    </row>
    <row r="31" spans="1:14" ht="15.75" customHeight="1">
      <c r="A31" s="7"/>
      <c r="B31" s="96"/>
      <c r="C31" s="38" t="s">
        <v>14</v>
      </c>
      <c r="D31" s="39">
        <v>121.8</v>
      </c>
      <c r="E31" s="40">
        <v>77.599999999999994</v>
      </c>
      <c r="F31" s="30">
        <f t="shared" si="0"/>
        <v>44.2</v>
      </c>
      <c r="G31" s="33">
        <f t="shared" si="1"/>
        <v>44.2</v>
      </c>
      <c r="H31" s="31">
        <f t="shared" si="2"/>
        <v>1953.6400000000003</v>
      </c>
      <c r="I31" s="34">
        <f t="shared" si="3"/>
        <v>36.288998357963884</v>
      </c>
      <c r="J31" s="35">
        <f t="shared" si="4"/>
        <v>36.288998357963884</v>
      </c>
      <c r="K31" s="2"/>
      <c r="L31" s="2"/>
      <c r="M31" s="2"/>
    </row>
    <row r="32" spans="1:14" ht="15.75" customHeight="1">
      <c r="A32" s="7"/>
      <c r="B32" s="96"/>
      <c r="C32" s="38" t="s">
        <v>15</v>
      </c>
      <c r="D32" s="41">
        <v>109.2</v>
      </c>
      <c r="E32" s="40">
        <v>121.8</v>
      </c>
      <c r="F32" s="31">
        <f t="shared" si="0"/>
        <v>-12.599999999999994</v>
      </c>
      <c r="G32" s="33">
        <f t="shared" si="1"/>
        <v>12.599999999999994</v>
      </c>
      <c r="H32" s="31">
        <f t="shared" si="2"/>
        <v>158.75999999999985</v>
      </c>
      <c r="I32" s="34">
        <f t="shared" si="3"/>
        <v>-11.538461538461533</v>
      </c>
      <c r="J32" s="35">
        <f t="shared" si="4"/>
        <v>11.538461538461533</v>
      </c>
      <c r="K32" s="2"/>
      <c r="L32" s="2"/>
      <c r="M32" s="2"/>
    </row>
    <row r="33" spans="1:15" ht="15.75" customHeight="1">
      <c r="A33" s="7"/>
      <c r="B33" s="96"/>
      <c r="C33" s="38" t="s">
        <v>16</v>
      </c>
      <c r="D33" s="39">
        <v>118.7</v>
      </c>
      <c r="E33" s="40">
        <v>109.2</v>
      </c>
      <c r="F33" s="31">
        <f t="shared" si="0"/>
        <v>9.5</v>
      </c>
      <c r="G33" s="33">
        <f t="shared" si="1"/>
        <v>9.5</v>
      </c>
      <c r="H33" s="31">
        <f t="shared" si="2"/>
        <v>90.25</v>
      </c>
      <c r="I33" s="34">
        <f t="shared" si="3"/>
        <v>8.0033698399326028</v>
      </c>
      <c r="J33" s="35">
        <f t="shared" si="4"/>
        <v>8.0033698399326028</v>
      </c>
      <c r="K33" s="2"/>
      <c r="L33" s="2"/>
      <c r="M33" s="2"/>
    </row>
    <row r="34" spans="1:15" ht="15.75" customHeight="1">
      <c r="A34" s="7"/>
      <c r="B34" s="96"/>
      <c r="C34" s="38" t="s">
        <v>17</v>
      </c>
      <c r="D34" s="39">
        <v>127.1</v>
      </c>
      <c r="E34" s="40">
        <v>118.7</v>
      </c>
      <c r="F34" s="30">
        <f t="shared" si="0"/>
        <v>8.3999999999999915</v>
      </c>
      <c r="G34" s="33">
        <f t="shared" si="1"/>
        <v>8.3999999999999915</v>
      </c>
      <c r="H34" s="31">
        <f t="shared" si="2"/>
        <v>70.55999999999986</v>
      </c>
      <c r="I34" s="34">
        <f t="shared" si="3"/>
        <v>6.6089693154996008</v>
      </c>
      <c r="J34" s="35">
        <f t="shared" si="4"/>
        <v>6.6089693154996008</v>
      </c>
      <c r="K34" s="2"/>
      <c r="L34" s="2"/>
      <c r="M34" s="2"/>
    </row>
    <row r="35" spans="1:15" ht="15.75" customHeight="1">
      <c r="A35" s="7"/>
      <c r="B35" s="96"/>
      <c r="C35" s="38" t="s">
        <v>18</v>
      </c>
      <c r="D35" s="41">
        <v>135.4</v>
      </c>
      <c r="E35" s="40">
        <v>127.1</v>
      </c>
      <c r="F35" s="31">
        <f t="shared" si="0"/>
        <v>8.3000000000000114</v>
      </c>
      <c r="G35" s="33">
        <f t="shared" si="1"/>
        <v>8.3000000000000114</v>
      </c>
      <c r="H35" s="31">
        <f t="shared" si="2"/>
        <v>68.890000000000185</v>
      </c>
      <c r="I35" s="34">
        <f t="shared" si="3"/>
        <v>6.1299852289512637</v>
      </c>
      <c r="J35" s="35">
        <f t="shared" si="4"/>
        <v>6.1299852289512637</v>
      </c>
      <c r="K35" s="2"/>
      <c r="L35" s="2"/>
      <c r="M35" s="2"/>
    </row>
    <row r="36" spans="1:15" ht="15.75" customHeight="1">
      <c r="A36" s="7"/>
      <c r="B36" s="96"/>
      <c r="C36" s="38" t="s">
        <v>19</v>
      </c>
      <c r="D36" s="42">
        <v>130.69999999999999</v>
      </c>
      <c r="E36" s="40">
        <v>135.4</v>
      </c>
      <c r="F36" s="31">
        <f t="shared" si="0"/>
        <v>-4.7000000000000171</v>
      </c>
      <c r="G36" s="33">
        <f t="shared" si="1"/>
        <v>4.7000000000000171</v>
      </c>
      <c r="H36" s="31">
        <f t="shared" si="2"/>
        <v>22.09000000000016</v>
      </c>
      <c r="I36" s="34">
        <f t="shared" si="3"/>
        <v>-3.5960214231063636</v>
      </c>
      <c r="J36" s="35">
        <f t="shared" si="4"/>
        <v>3.5960214231063636</v>
      </c>
      <c r="K36" s="2"/>
      <c r="L36" s="2"/>
      <c r="M36" s="2"/>
    </row>
    <row r="37" spans="1:15" ht="15.75" customHeight="1">
      <c r="A37" s="7"/>
      <c r="B37" s="96"/>
      <c r="C37" s="38" t="s">
        <v>20</v>
      </c>
      <c r="D37" s="39">
        <v>118.2</v>
      </c>
      <c r="E37" s="43">
        <v>130.69999999999999</v>
      </c>
      <c r="F37" s="30">
        <f t="shared" si="0"/>
        <v>-12.499999999999986</v>
      </c>
      <c r="G37" s="33">
        <f t="shared" si="1"/>
        <v>12.499999999999986</v>
      </c>
      <c r="H37" s="31">
        <f t="shared" si="2"/>
        <v>156.24999999999966</v>
      </c>
      <c r="I37" s="34">
        <f t="shared" si="3"/>
        <v>-10.57529610829102</v>
      </c>
      <c r="J37" s="35">
        <f t="shared" si="4"/>
        <v>10.57529610829102</v>
      </c>
      <c r="K37" s="2"/>
      <c r="L37" s="2"/>
      <c r="M37" s="2"/>
    </row>
    <row r="38" spans="1:15" ht="15.75" customHeight="1">
      <c r="A38" s="7"/>
      <c r="B38" s="96"/>
      <c r="C38" s="38" t="s">
        <v>21</v>
      </c>
      <c r="D38" s="39">
        <v>110.4</v>
      </c>
      <c r="E38" s="40">
        <v>118.2</v>
      </c>
      <c r="F38" s="30">
        <f t="shared" si="0"/>
        <v>-7.7999999999999972</v>
      </c>
      <c r="G38" s="33">
        <f t="shared" si="1"/>
        <v>7.7999999999999972</v>
      </c>
      <c r="H38" s="31">
        <f t="shared" si="2"/>
        <v>60.839999999999954</v>
      </c>
      <c r="I38" s="34">
        <f t="shared" si="3"/>
        <v>-7.0652173913043441</v>
      </c>
      <c r="J38" s="35">
        <f t="shared" si="4"/>
        <v>7.0652173913043441</v>
      </c>
      <c r="K38" s="2"/>
      <c r="L38" s="2"/>
      <c r="M38" s="2"/>
    </row>
    <row r="39" spans="1:15" ht="15.75" customHeight="1">
      <c r="A39" s="7"/>
      <c r="B39" s="96"/>
      <c r="C39" s="38" t="s">
        <v>22</v>
      </c>
      <c r="D39" s="39">
        <v>77.400000000000006</v>
      </c>
      <c r="E39" s="40">
        <v>110.4</v>
      </c>
      <c r="F39" s="30">
        <f t="shared" si="0"/>
        <v>-33</v>
      </c>
      <c r="G39" s="33">
        <f t="shared" si="1"/>
        <v>33</v>
      </c>
      <c r="H39" s="31">
        <f t="shared" si="2"/>
        <v>1089</v>
      </c>
      <c r="I39" s="34">
        <f t="shared" si="3"/>
        <v>-42.63565891472868</v>
      </c>
      <c r="J39" s="35">
        <f t="shared" si="4"/>
        <v>42.63565891472868</v>
      </c>
      <c r="K39" s="2"/>
      <c r="L39" s="2"/>
      <c r="M39" s="2"/>
    </row>
    <row r="40" spans="1:15" ht="15.75" customHeight="1">
      <c r="A40" s="7"/>
      <c r="B40" s="97"/>
      <c r="C40" s="38" t="s">
        <v>23</v>
      </c>
      <c r="D40" s="39">
        <v>152.1</v>
      </c>
      <c r="E40" s="40">
        <v>77.400000000000006</v>
      </c>
      <c r="F40" s="30">
        <f t="shared" si="0"/>
        <v>74.699999999999989</v>
      </c>
      <c r="G40" s="33">
        <f t="shared" si="1"/>
        <v>74.699999999999989</v>
      </c>
      <c r="H40" s="31">
        <f t="shared" si="2"/>
        <v>5580.0899999999983</v>
      </c>
      <c r="I40" s="34">
        <f t="shared" si="3"/>
        <v>49.112426035502956</v>
      </c>
      <c r="J40" s="35">
        <f t="shared" si="4"/>
        <v>49.112426035502956</v>
      </c>
      <c r="K40" s="2"/>
      <c r="L40" s="2"/>
      <c r="M40" s="2"/>
    </row>
    <row r="41" spans="1:15" ht="15.75" customHeight="1">
      <c r="A41" s="7"/>
      <c r="B41" s="99">
        <v>2023</v>
      </c>
      <c r="C41" s="44" t="s">
        <v>12</v>
      </c>
      <c r="D41" s="45">
        <v>99.7</v>
      </c>
      <c r="E41" s="40">
        <v>152.1</v>
      </c>
      <c r="F41" s="30">
        <f t="shared" si="0"/>
        <v>-52.399999999999991</v>
      </c>
      <c r="G41" s="33">
        <f t="shared" si="1"/>
        <v>52.399999999999991</v>
      </c>
      <c r="H41" s="31">
        <f t="shared" si="2"/>
        <v>2745.7599999999993</v>
      </c>
      <c r="I41" s="34">
        <f t="shared" si="3"/>
        <v>-52.557673019057162</v>
      </c>
      <c r="J41" s="35">
        <f t="shared" si="4"/>
        <v>52.557673019057162</v>
      </c>
      <c r="K41" s="2"/>
      <c r="L41" s="2"/>
      <c r="M41" s="2"/>
    </row>
    <row r="42" spans="1:15" ht="15.75" customHeight="1">
      <c r="A42" s="7"/>
      <c r="B42" s="96"/>
      <c r="C42" s="44" t="s">
        <v>13</v>
      </c>
      <c r="D42" s="45">
        <v>75.400000000000006</v>
      </c>
      <c r="E42" s="46">
        <v>99.7</v>
      </c>
      <c r="F42" s="30">
        <f t="shared" si="0"/>
        <v>-24.299999999999997</v>
      </c>
      <c r="G42" s="33">
        <f t="shared" si="1"/>
        <v>24.299999999999997</v>
      </c>
      <c r="H42" s="31">
        <f t="shared" si="2"/>
        <v>590.4899999999999</v>
      </c>
      <c r="I42" s="34">
        <f t="shared" si="3"/>
        <v>-32.228116710875327</v>
      </c>
      <c r="J42" s="35">
        <f t="shared" si="4"/>
        <v>32.228116710875327</v>
      </c>
      <c r="K42" s="2"/>
      <c r="L42" s="2"/>
      <c r="M42" s="2"/>
    </row>
    <row r="43" spans="1:15" ht="15.75" customHeight="1">
      <c r="A43" s="7"/>
      <c r="B43" s="96"/>
      <c r="C43" s="44" t="s">
        <v>14</v>
      </c>
      <c r="D43" s="45">
        <v>122.5</v>
      </c>
      <c r="E43" s="46">
        <v>75.400000000000006</v>
      </c>
      <c r="F43" s="30">
        <f t="shared" si="0"/>
        <v>47.099999999999994</v>
      </c>
      <c r="G43" s="33">
        <f t="shared" si="1"/>
        <v>47.099999999999994</v>
      </c>
      <c r="H43" s="31">
        <f t="shared" si="2"/>
        <v>2218.4099999999994</v>
      </c>
      <c r="I43" s="34">
        <f t="shared" si="3"/>
        <v>38.448979591836732</v>
      </c>
      <c r="J43" s="35">
        <f t="shared" si="4"/>
        <v>38.448979591836732</v>
      </c>
      <c r="K43" s="2"/>
      <c r="L43" s="2"/>
      <c r="M43" s="2"/>
    </row>
    <row r="44" spans="1:15" ht="15.75" customHeight="1">
      <c r="A44" s="7"/>
      <c r="B44" s="96"/>
      <c r="C44" s="44" t="s">
        <v>15</v>
      </c>
      <c r="D44" s="47">
        <v>112.3</v>
      </c>
      <c r="E44" s="46">
        <v>122.5</v>
      </c>
      <c r="F44" s="31">
        <f t="shared" si="0"/>
        <v>-10.200000000000003</v>
      </c>
      <c r="G44" s="33">
        <f t="shared" si="1"/>
        <v>10.200000000000003</v>
      </c>
      <c r="H44" s="31">
        <f t="shared" si="2"/>
        <v>104.04000000000006</v>
      </c>
      <c r="I44" s="34">
        <f t="shared" si="3"/>
        <v>-9.0828138913624255</v>
      </c>
      <c r="J44" s="35">
        <f t="shared" si="4"/>
        <v>9.0828138913624255</v>
      </c>
      <c r="K44" s="2"/>
      <c r="L44" s="2"/>
      <c r="M44" s="48"/>
      <c r="N44" s="48"/>
      <c r="O44" s="48"/>
    </row>
    <row r="45" spans="1:15" ht="15.75" customHeight="1">
      <c r="A45" s="7"/>
      <c r="B45" s="96"/>
      <c r="C45" s="44" t="s">
        <v>16</v>
      </c>
      <c r="D45" s="45">
        <v>116.4</v>
      </c>
      <c r="E45" s="46">
        <v>112.3</v>
      </c>
      <c r="F45" s="31">
        <f t="shared" si="0"/>
        <v>4.1000000000000085</v>
      </c>
      <c r="G45" s="33">
        <f t="shared" si="1"/>
        <v>4.1000000000000085</v>
      </c>
      <c r="H45" s="31">
        <f t="shared" si="2"/>
        <v>16.81000000000007</v>
      </c>
      <c r="I45" s="34">
        <f t="shared" si="3"/>
        <v>3.5223367697594572</v>
      </c>
      <c r="J45" s="35">
        <f t="shared" si="4"/>
        <v>3.5223367697594572</v>
      </c>
      <c r="K45" s="2"/>
      <c r="L45" s="2"/>
    </row>
    <row r="46" spans="1:15" ht="15.75" customHeight="1">
      <c r="A46" s="7"/>
      <c r="B46" s="96"/>
      <c r="C46" s="44" t="s">
        <v>17</v>
      </c>
      <c r="D46" s="45">
        <v>125.5</v>
      </c>
      <c r="E46" s="46">
        <v>116.4</v>
      </c>
      <c r="F46" s="30">
        <f t="shared" si="0"/>
        <v>9.0999999999999943</v>
      </c>
      <c r="G46" s="33">
        <f t="shared" si="1"/>
        <v>9.0999999999999943</v>
      </c>
      <c r="H46" s="31">
        <f t="shared" si="2"/>
        <v>82.809999999999903</v>
      </c>
      <c r="I46" s="34">
        <f t="shared" si="3"/>
        <v>7.2509960159362503</v>
      </c>
      <c r="J46" s="35">
        <f t="shared" si="4"/>
        <v>7.2509960159362503</v>
      </c>
      <c r="K46" s="2"/>
      <c r="L46" s="2"/>
    </row>
    <row r="47" spans="1:15" ht="15.75" customHeight="1">
      <c r="A47" s="7"/>
      <c r="B47" s="96"/>
      <c r="C47" s="44" t="s">
        <v>18</v>
      </c>
      <c r="D47" s="47">
        <v>114.3</v>
      </c>
      <c r="E47" s="46">
        <v>125.5</v>
      </c>
      <c r="F47" s="31">
        <f t="shared" si="0"/>
        <v>-11.200000000000003</v>
      </c>
      <c r="G47" s="33">
        <f t="shared" si="1"/>
        <v>11.200000000000003</v>
      </c>
      <c r="H47" s="31">
        <f t="shared" si="2"/>
        <v>125.44000000000007</v>
      </c>
      <c r="I47" s="34">
        <f t="shared" si="3"/>
        <v>-9.7987751531058631</v>
      </c>
      <c r="J47" s="35">
        <f t="shared" si="4"/>
        <v>9.7987751531058631</v>
      </c>
      <c r="K47" s="2"/>
      <c r="L47" s="2"/>
    </row>
    <row r="48" spans="1:15" ht="15.75" customHeight="1">
      <c r="A48" s="7"/>
      <c r="B48" s="96"/>
      <c r="C48" s="44" t="s">
        <v>19</v>
      </c>
      <c r="D48" s="49">
        <v>127.9</v>
      </c>
      <c r="E48" s="46">
        <v>114.3</v>
      </c>
      <c r="F48" s="31">
        <f t="shared" si="0"/>
        <v>13.600000000000009</v>
      </c>
      <c r="G48" s="33">
        <f t="shared" si="1"/>
        <v>13.600000000000009</v>
      </c>
      <c r="H48" s="31">
        <f t="shared" si="2"/>
        <v>184.96000000000024</v>
      </c>
      <c r="I48" s="34">
        <f t="shared" si="3"/>
        <v>10.633307271305714</v>
      </c>
      <c r="J48" s="35">
        <f t="shared" si="4"/>
        <v>10.633307271305714</v>
      </c>
      <c r="K48" s="2"/>
      <c r="L48" s="2"/>
    </row>
    <row r="49" spans="1:13" ht="15.75" customHeight="1">
      <c r="A49" s="7"/>
      <c r="B49" s="96"/>
      <c r="C49" s="44" t="s">
        <v>20</v>
      </c>
      <c r="D49" s="29">
        <v>119.6</v>
      </c>
      <c r="E49" s="50">
        <v>127.9</v>
      </c>
      <c r="F49" s="30">
        <f t="shared" si="0"/>
        <v>-8.3000000000000114</v>
      </c>
      <c r="G49" s="33">
        <f t="shared" si="1"/>
        <v>8.3000000000000114</v>
      </c>
      <c r="H49" s="31">
        <f t="shared" si="2"/>
        <v>68.890000000000185</v>
      </c>
      <c r="I49" s="34">
        <f t="shared" si="3"/>
        <v>-6.9397993311036883</v>
      </c>
      <c r="J49" s="35">
        <f t="shared" si="4"/>
        <v>6.9397993311036883</v>
      </c>
      <c r="K49" s="2"/>
      <c r="L49" s="2"/>
    </row>
    <row r="50" spans="1:13" ht="15.75" customHeight="1">
      <c r="A50" s="7"/>
      <c r="B50" s="96"/>
      <c r="C50" s="44" t="s">
        <v>21</v>
      </c>
      <c r="D50" s="29">
        <v>108.7</v>
      </c>
      <c r="E50" s="32">
        <v>119.6</v>
      </c>
      <c r="F50" s="30">
        <f t="shared" si="0"/>
        <v>-10.899999999999991</v>
      </c>
      <c r="G50" s="33">
        <f t="shared" si="1"/>
        <v>10.899999999999991</v>
      </c>
      <c r="H50" s="31">
        <f t="shared" si="2"/>
        <v>118.80999999999982</v>
      </c>
      <c r="I50" s="34">
        <f t="shared" si="3"/>
        <v>-10.02759889604415</v>
      </c>
      <c r="J50" s="35">
        <f t="shared" si="4"/>
        <v>10.02759889604415</v>
      </c>
      <c r="K50" s="2"/>
      <c r="L50" s="2"/>
    </row>
    <row r="51" spans="1:13" ht="15.75" customHeight="1">
      <c r="A51" s="7"/>
      <c r="B51" s="96"/>
      <c r="C51" s="44" t="s">
        <v>22</v>
      </c>
      <c r="D51" s="29">
        <v>78.5</v>
      </c>
      <c r="E51" s="32">
        <v>108.7</v>
      </c>
      <c r="F51" s="30">
        <f t="shared" si="0"/>
        <v>-30.200000000000003</v>
      </c>
      <c r="G51" s="33">
        <f t="shared" si="1"/>
        <v>30.200000000000003</v>
      </c>
      <c r="H51" s="31">
        <f t="shared" si="2"/>
        <v>912.04000000000019</v>
      </c>
      <c r="I51" s="34">
        <f t="shared" si="3"/>
        <v>-38.471337579617838</v>
      </c>
      <c r="J51" s="35">
        <f t="shared" si="4"/>
        <v>38.471337579617838</v>
      </c>
      <c r="K51" s="2"/>
      <c r="L51" s="2"/>
    </row>
    <row r="52" spans="1:13" ht="15.75" customHeight="1">
      <c r="A52" s="7"/>
      <c r="B52" s="97"/>
      <c r="C52" s="44" t="s">
        <v>23</v>
      </c>
      <c r="D52" s="51">
        <v>150.80000000000001</v>
      </c>
      <c r="E52" s="32">
        <v>78.5</v>
      </c>
      <c r="F52" s="30">
        <f t="shared" si="0"/>
        <v>72.300000000000011</v>
      </c>
      <c r="G52" s="33">
        <f t="shared" si="1"/>
        <v>72.300000000000011</v>
      </c>
      <c r="H52" s="31">
        <f t="shared" si="2"/>
        <v>5227.2900000000018</v>
      </c>
      <c r="I52" s="34">
        <f t="shared" si="3"/>
        <v>47.944297082228118</v>
      </c>
      <c r="J52" s="35">
        <f t="shared" si="4"/>
        <v>47.944297082228118</v>
      </c>
      <c r="K52" s="2"/>
      <c r="L52" s="2"/>
    </row>
    <row r="53" spans="1:13" ht="14.25">
      <c r="A53" s="7"/>
      <c r="B53" s="52"/>
      <c r="C53" s="52"/>
      <c r="D53" s="53"/>
      <c r="E53" s="54" t="s">
        <v>34</v>
      </c>
      <c r="F53" s="30">
        <f t="shared" ref="F53:J53" si="5">SUM(F17:F52)</f>
        <v>52.600000000000009</v>
      </c>
      <c r="G53" s="30">
        <f t="shared" si="5"/>
        <v>832.40000000000009</v>
      </c>
      <c r="H53" s="30">
        <f t="shared" si="5"/>
        <v>34395.340000000011</v>
      </c>
      <c r="I53" s="30">
        <f t="shared" si="5"/>
        <v>-99.101637227269592</v>
      </c>
      <c r="J53" s="30">
        <f t="shared" si="5"/>
        <v>752.05999868324284</v>
      </c>
      <c r="K53" s="2"/>
      <c r="L53" s="2"/>
    </row>
    <row r="54" spans="1:13" ht="15.75" customHeight="1">
      <c r="A54" s="7"/>
      <c r="B54" s="95">
        <v>2024</v>
      </c>
      <c r="C54" s="52" t="s">
        <v>12</v>
      </c>
      <c r="D54" s="55">
        <v>100.5</v>
      </c>
      <c r="E54" s="56">
        <v>150.80000000000001</v>
      </c>
      <c r="F54" s="33"/>
      <c r="G54" s="33"/>
      <c r="H54" s="31"/>
      <c r="I54" s="34"/>
      <c r="J54" s="35"/>
      <c r="K54" s="2"/>
      <c r="L54" s="2"/>
    </row>
    <row r="55" spans="1:13" ht="15.75" customHeight="1">
      <c r="A55" s="7"/>
      <c r="B55" s="96"/>
      <c r="C55" s="52" t="s">
        <v>13</v>
      </c>
      <c r="D55" s="55">
        <v>76</v>
      </c>
      <c r="E55" s="57">
        <v>100.5</v>
      </c>
      <c r="F55" s="33"/>
      <c r="G55" s="33"/>
      <c r="H55" s="31"/>
      <c r="I55" s="34"/>
      <c r="J55" s="35"/>
      <c r="K55" s="2"/>
      <c r="L55" s="2"/>
    </row>
    <row r="56" spans="1:13" ht="15.75" customHeight="1">
      <c r="A56" s="7"/>
      <c r="B56" s="96"/>
      <c r="C56" s="52" t="s">
        <v>14</v>
      </c>
      <c r="D56" s="55">
        <v>122.5</v>
      </c>
      <c r="E56" s="57">
        <v>76</v>
      </c>
      <c r="F56" s="33"/>
      <c r="G56" s="33"/>
      <c r="H56" s="31"/>
      <c r="I56" s="34"/>
      <c r="J56" s="35"/>
      <c r="K56" s="2"/>
      <c r="L56" s="2"/>
    </row>
    <row r="57" spans="1:13" ht="15.75" customHeight="1">
      <c r="A57" s="7"/>
      <c r="B57" s="96"/>
      <c r="C57" s="52" t="s">
        <v>15</v>
      </c>
      <c r="D57" s="55">
        <v>110.8</v>
      </c>
      <c r="E57" s="57">
        <v>122.5</v>
      </c>
      <c r="F57" s="33"/>
      <c r="G57" s="33"/>
      <c r="H57" s="31"/>
      <c r="I57" s="34"/>
      <c r="J57" s="35"/>
      <c r="K57" s="2"/>
      <c r="L57" s="2"/>
    </row>
    <row r="58" spans="1:13" ht="15.75" customHeight="1">
      <c r="A58" s="7"/>
      <c r="B58" s="96"/>
      <c r="C58" s="52" t="s">
        <v>16</v>
      </c>
      <c r="D58" s="55">
        <v>117</v>
      </c>
      <c r="E58" s="57">
        <v>110.8</v>
      </c>
      <c r="F58" s="33"/>
      <c r="G58" s="33"/>
      <c r="H58" s="31"/>
      <c r="I58" s="34"/>
      <c r="J58" s="35"/>
      <c r="K58" s="2"/>
      <c r="L58" s="2"/>
      <c r="M58" s="2"/>
    </row>
    <row r="59" spans="1:13" ht="15.75" customHeight="1">
      <c r="A59" s="7"/>
      <c r="B59" s="96"/>
      <c r="C59" s="52" t="s">
        <v>17</v>
      </c>
      <c r="D59" s="55">
        <v>126</v>
      </c>
      <c r="E59" s="57">
        <v>117</v>
      </c>
      <c r="F59" s="33"/>
      <c r="G59" s="33"/>
      <c r="H59" s="31"/>
      <c r="I59" s="34"/>
      <c r="J59" s="35"/>
      <c r="K59" s="2"/>
      <c r="L59" s="2"/>
      <c r="M59" s="2"/>
    </row>
    <row r="60" spans="1:13" ht="15.75" customHeight="1">
      <c r="A60" s="7"/>
      <c r="B60" s="96"/>
      <c r="C60" s="52" t="s">
        <v>18</v>
      </c>
      <c r="D60" s="58">
        <v>65</v>
      </c>
      <c r="E60" s="57">
        <v>126</v>
      </c>
      <c r="F60" s="33"/>
      <c r="G60" s="33"/>
      <c r="H60" s="31"/>
      <c r="I60" s="34"/>
      <c r="J60" s="35"/>
      <c r="K60" s="2"/>
      <c r="L60" s="2"/>
      <c r="M60" s="2"/>
    </row>
    <row r="61" spans="1:13" ht="15.75" customHeight="1">
      <c r="A61" s="7"/>
      <c r="B61" s="96"/>
      <c r="C61" s="52" t="s">
        <v>19</v>
      </c>
      <c r="D61" s="58">
        <v>70</v>
      </c>
      <c r="E61" s="59">
        <v>65</v>
      </c>
      <c r="F61" s="33"/>
      <c r="G61" s="33"/>
      <c r="H61" s="31"/>
      <c r="I61" s="34"/>
      <c r="J61" s="35"/>
      <c r="K61" s="2"/>
      <c r="L61" s="2"/>
      <c r="M61" s="2"/>
    </row>
    <row r="62" spans="1:13" ht="15.75" customHeight="1">
      <c r="A62" s="7"/>
      <c r="B62" s="96"/>
      <c r="C62" s="52" t="s">
        <v>20</v>
      </c>
      <c r="D62" s="58">
        <v>85.5</v>
      </c>
      <c r="E62" s="59">
        <v>70</v>
      </c>
      <c r="F62" s="33"/>
      <c r="G62" s="33"/>
      <c r="H62" s="31"/>
      <c r="I62" s="34"/>
      <c r="J62" s="35"/>
      <c r="K62" s="2"/>
      <c r="L62" s="2"/>
      <c r="M62" s="2"/>
    </row>
    <row r="63" spans="1:13" ht="15.75" customHeight="1">
      <c r="A63" s="7"/>
      <c r="B63" s="96"/>
      <c r="C63" s="52" t="s">
        <v>21</v>
      </c>
      <c r="D63" s="55">
        <v>109.5</v>
      </c>
      <c r="E63" s="59">
        <v>85.5</v>
      </c>
      <c r="F63" s="33"/>
      <c r="G63" s="33"/>
      <c r="H63" s="31"/>
      <c r="I63" s="34"/>
      <c r="J63" s="35"/>
      <c r="K63" s="2"/>
      <c r="L63" s="2"/>
      <c r="M63" s="2"/>
    </row>
    <row r="64" spans="1:13" ht="15.75" customHeight="1">
      <c r="A64" s="7"/>
      <c r="B64" s="96"/>
      <c r="C64" s="52" t="s">
        <v>22</v>
      </c>
      <c r="D64" s="58">
        <v>110</v>
      </c>
      <c r="E64" s="57">
        <v>109.5</v>
      </c>
      <c r="F64" s="33"/>
      <c r="G64" s="33"/>
      <c r="H64" s="31"/>
      <c r="I64" s="34"/>
      <c r="J64" s="35"/>
      <c r="K64" s="2"/>
      <c r="L64" s="2"/>
      <c r="M64" s="2"/>
    </row>
    <row r="65" spans="1:16" ht="15.75" customHeight="1">
      <c r="A65" s="7"/>
      <c r="B65" s="97"/>
      <c r="C65" s="52" t="s">
        <v>23</v>
      </c>
      <c r="D65" s="55">
        <v>151.5</v>
      </c>
      <c r="E65" s="59">
        <v>110</v>
      </c>
      <c r="F65" s="33"/>
      <c r="G65" s="33"/>
      <c r="H65" s="31"/>
      <c r="I65" s="34"/>
      <c r="J65" s="35"/>
      <c r="K65" s="2"/>
      <c r="L65" s="2"/>
      <c r="M65" s="2"/>
    </row>
    <row r="66" spans="1:16" ht="15.75" customHeight="1">
      <c r="A66" s="7"/>
      <c r="B66" s="7"/>
      <c r="C66" s="7"/>
      <c r="D66" s="7"/>
      <c r="E66" s="57"/>
      <c r="F66" s="7"/>
      <c r="G66" s="7"/>
      <c r="H66" s="22"/>
      <c r="I66" s="23"/>
      <c r="J66" s="2"/>
      <c r="K66" s="2"/>
      <c r="L66" s="2"/>
      <c r="M66" s="2"/>
    </row>
    <row r="67" spans="1:16" ht="15.75" customHeight="1">
      <c r="A67" s="7"/>
      <c r="B67" s="7"/>
      <c r="C67" s="5" t="s">
        <v>35</v>
      </c>
      <c r="D67" s="60">
        <f>G53</f>
        <v>832.40000000000009</v>
      </c>
      <c r="E67" s="30">
        <v>35</v>
      </c>
      <c r="F67" s="33">
        <f t="shared" ref="F67:F69" si="6">D67/E67</f>
        <v>23.782857142857146</v>
      </c>
      <c r="G67" s="7"/>
      <c r="H67" s="22"/>
      <c r="I67" s="23"/>
      <c r="J67" s="2"/>
      <c r="K67" s="2"/>
      <c r="L67" s="2"/>
      <c r="M67" s="2"/>
    </row>
    <row r="68" spans="1:16" ht="15.75" customHeight="1">
      <c r="A68" s="7"/>
      <c r="B68" s="7"/>
      <c r="C68" s="5" t="s">
        <v>6</v>
      </c>
      <c r="D68" s="30">
        <f>H53</f>
        <v>34395.340000000011</v>
      </c>
      <c r="E68" s="30">
        <v>35</v>
      </c>
      <c r="F68" s="33">
        <f t="shared" si="6"/>
        <v>982.72400000000027</v>
      </c>
      <c r="G68" s="7"/>
      <c r="H68" s="22"/>
      <c r="I68" s="23"/>
      <c r="J68" s="2"/>
      <c r="K68" s="2"/>
      <c r="L68" s="2"/>
      <c r="M68" s="2"/>
    </row>
    <row r="69" spans="1:16" ht="15.75" customHeight="1">
      <c r="A69" s="7"/>
      <c r="B69" s="7"/>
      <c r="C69" s="5" t="s">
        <v>7</v>
      </c>
      <c r="D69" s="30">
        <f>J53</f>
        <v>752.05999868324284</v>
      </c>
      <c r="E69" s="30">
        <v>35</v>
      </c>
      <c r="F69" s="33">
        <f t="shared" si="6"/>
        <v>21.487428533806938</v>
      </c>
      <c r="G69" s="7"/>
      <c r="H69" s="22"/>
      <c r="I69" s="23"/>
      <c r="J69" s="2"/>
      <c r="K69" s="2"/>
      <c r="L69" s="2"/>
      <c r="M69" s="2"/>
    </row>
    <row r="70" spans="1:16" ht="15.75" customHeight="1">
      <c r="A70" s="7"/>
      <c r="B70" s="7"/>
      <c r="C70" s="61"/>
      <c r="D70" s="7"/>
      <c r="E70" s="21"/>
      <c r="F70" s="7"/>
      <c r="G70" s="7"/>
      <c r="H70" s="22"/>
      <c r="I70" s="23"/>
      <c r="J70" s="2"/>
      <c r="K70" s="2"/>
      <c r="L70" s="2"/>
      <c r="M70" s="2"/>
    </row>
    <row r="71" spans="1:16" ht="15.75" customHeight="1">
      <c r="A71" s="7"/>
      <c r="B71" s="7"/>
      <c r="C71" s="61"/>
      <c r="D71" s="7"/>
      <c r="E71" s="21"/>
      <c r="F71" s="7"/>
      <c r="G71" s="7"/>
      <c r="H71" s="22"/>
      <c r="I71" s="23"/>
      <c r="J71" s="2"/>
      <c r="K71" s="2"/>
      <c r="L71" s="2"/>
      <c r="M71" s="2"/>
    </row>
    <row r="72" spans="1:16" ht="15.75" customHeight="1">
      <c r="A72" s="7"/>
      <c r="B72" s="7"/>
      <c r="C72" s="61"/>
      <c r="D72" s="7"/>
      <c r="E72" s="21"/>
      <c r="F72" s="7"/>
      <c r="G72" s="7"/>
      <c r="H72" s="22"/>
      <c r="I72" s="23"/>
      <c r="J72" s="2"/>
      <c r="K72" s="2"/>
      <c r="L72" s="2"/>
      <c r="M72" s="2"/>
    </row>
    <row r="73" spans="1:16" ht="15.75" customHeight="1">
      <c r="A73" s="7"/>
      <c r="B73" s="7"/>
      <c r="C73" s="7"/>
      <c r="D73" s="7"/>
      <c r="E73" s="21"/>
      <c r="F73" s="7"/>
      <c r="G73" s="7"/>
      <c r="H73" s="22"/>
      <c r="I73" s="23"/>
      <c r="J73" s="2"/>
      <c r="K73" s="2"/>
      <c r="L73" s="2"/>
      <c r="M73" s="2"/>
    </row>
    <row r="74" spans="1:16" ht="15.75" customHeight="1">
      <c r="A74" s="7"/>
      <c r="B74" s="100" t="s">
        <v>36</v>
      </c>
      <c r="C74" s="101"/>
      <c r="D74" s="101"/>
      <c r="E74" s="101"/>
      <c r="F74" s="101"/>
      <c r="G74" s="101"/>
      <c r="H74" s="101"/>
      <c r="I74" s="101"/>
      <c r="J74" s="102"/>
      <c r="K74" s="2"/>
      <c r="L74" s="2"/>
      <c r="M74" s="2"/>
    </row>
    <row r="75" spans="1:16" ht="60">
      <c r="A75" s="7"/>
      <c r="B75" s="24" t="s">
        <v>11</v>
      </c>
      <c r="C75" s="24" t="s">
        <v>25</v>
      </c>
      <c r="D75" s="25" t="s">
        <v>26</v>
      </c>
      <c r="E75" s="26" t="s">
        <v>27</v>
      </c>
      <c r="F75" s="25" t="s">
        <v>28</v>
      </c>
      <c r="G75" s="25" t="s">
        <v>29</v>
      </c>
      <c r="H75" s="27" t="s">
        <v>30</v>
      </c>
      <c r="I75" s="25" t="s">
        <v>31</v>
      </c>
      <c r="J75" s="25" t="s">
        <v>32</v>
      </c>
      <c r="K75" s="2"/>
      <c r="L75" s="2"/>
      <c r="M75" s="2"/>
    </row>
    <row r="76" spans="1:16" ht="15.75" customHeight="1">
      <c r="A76" s="7"/>
      <c r="B76" s="103">
        <v>2021</v>
      </c>
      <c r="C76" s="28" t="s">
        <v>12</v>
      </c>
      <c r="D76" s="62">
        <v>98.2</v>
      </c>
      <c r="E76" s="63">
        <v>0</v>
      </c>
      <c r="F76" s="64">
        <v>0</v>
      </c>
      <c r="G76" s="31">
        <f t="shared" ref="G76:G111" si="7">ABS(F76)</f>
        <v>0</v>
      </c>
      <c r="H76" s="31">
        <f t="shared" ref="H76:H111" si="8">F76^2</f>
        <v>0</v>
      </c>
      <c r="I76" s="31">
        <f t="shared" ref="I76:I111" si="9">F76/D76*100</f>
        <v>0</v>
      </c>
      <c r="J76" s="31">
        <f t="shared" ref="J76:J111" si="10">ABS(I76)</f>
        <v>0</v>
      </c>
      <c r="K76" s="2"/>
      <c r="L76" s="2"/>
      <c r="M76" s="2"/>
      <c r="O76" s="48"/>
      <c r="P76" s="48"/>
    </row>
    <row r="77" spans="1:16" ht="15.75" customHeight="1">
      <c r="A77" s="7"/>
      <c r="B77" s="96"/>
      <c r="C77" s="28" t="s">
        <v>13</v>
      </c>
      <c r="D77" s="29">
        <v>72.8</v>
      </c>
      <c r="E77" s="46">
        <f t="shared" ref="E77:E111" si="11">AVERAGE($D$76:D77)</f>
        <v>85.5</v>
      </c>
      <c r="F77" s="31">
        <f t="shared" ref="F77:F111" si="12">D77-E77</f>
        <v>-12.700000000000003</v>
      </c>
      <c r="G77" s="31">
        <f t="shared" si="7"/>
        <v>12.700000000000003</v>
      </c>
      <c r="H77" s="31">
        <f t="shared" si="8"/>
        <v>161.29000000000008</v>
      </c>
      <c r="I77" s="31">
        <f t="shared" si="9"/>
        <v>-17.445054945054949</v>
      </c>
      <c r="J77" s="31">
        <f t="shared" si="10"/>
        <v>17.445054945054949</v>
      </c>
      <c r="K77" s="2"/>
      <c r="L77" s="2"/>
      <c r="M77" s="2"/>
    </row>
    <row r="78" spans="1:16" ht="15.75" customHeight="1">
      <c r="A78" s="7"/>
      <c r="B78" s="96"/>
      <c r="C78" s="28" t="s">
        <v>14</v>
      </c>
      <c r="D78" s="29">
        <v>119.4</v>
      </c>
      <c r="E78" s="46">
        <f t="shared" si="11"/>
        <v>96.8</v>
      </c>
      <c r="F78" s="31">
        <f t="shared" si="12"/>
        <v>22.600000000000009</v>
      </c>
      <c r="G78" s="31">
        <f t="shared" si="7"/>
        <v>22.600000000000009</v>
      </c>
      <c r="H78" s="31">
        <f t="shared" si="8"/>
        <v>510.76000000000039</v>
      </c>
      <c r="I78" s="31">
        <f t="shared" si="9"/>
        <v>18.92797319932999</v>
      </c>
      <c r="J78" s="31">
        <f t="shared" si="10"/>
        <v>18.92797319932999</v>
      </c>
      <c r="K78" s="2"/>
      <c r="L78" s="2"/>
      <c r="M78" s="2"/>
    </row>
    <row r="79" spans="1:16" ht="15.75" customHeight="1">
      <c r="A79" s="7"/>
      <c r="B79" s="96"/>
      <c r="C79" s="28" t="s">
        <v>15</v>
      </c>
      <c r="D79" s="37">
        <v>107.5</v>
      </c>
      <c r="E79" s="46">
        <f t="shared" si="11"/>
        <v>99.474999999999994</v>
      </c>
      <c r="F79" s="31">
        <f t="shared" si="12"/>
        <v>8.0250000000000057</v>
      </c>
      <c r="G79" s="31">
        <f t="shared" si="7"/>
        <v>8.0250000000000057</v>
      </c>
      <c r="H79" s="31">
        <f t="shared" si="8"/>
        <v>64.40062500000009</v>
      </c>
      <c r="I79" s="31">
        <f t="shared" si="9"/>
        <v>7.4651162790697718</v>
      </c>
      <c r="J79" s="31">
        <f t="shared" si="10"/>
        <v>7.4651162790697718</v>
      </c>
      <c r="K79" s="2"/>
      <c r="L79" s="2"/>
      <c r="M79" s="2"/>
    </row>
    <row r="80" spans="1:16" ht="15.75" customHeight="1">
      <c r="A80" s="7"/>
      <c r="B80" s="96"/>
      <c r="C80" s="28" t="s">
        <v>16</v>
      </c>
      <c r="D80" s="29">
        <v>115.8</v>
      </c>
      <c r="E80" s="46">
        <f t="shared" si="11"/>
        <v>102.73999999999998</v>
      </c>
      <c r="F80" s="31">
        <f t="shared" si="12"/>
        <v>13.060000000000016</v>
      </c>
      <c r="G80" s="31">
        <f t="shared" si="7"/>
        <v>13.060000000000016</v>
      </c>
      <c r="H80" s="31">
        <f t="shared" si="8"/>
        <v>170.56360000000043</v>
      </c>
      <c r="I80" s="31">
        <f t="shared" si="9"/>
        <v>11.278065630397251</v>
      </c>
      <c r="J80" s="31">
        <f t="shared" si="10"/>
        <v>11.278065630397251</v>
      </c>
      <c r="K80" s="2"/>
      <c r="L80" s="2"/>
      <c r="M80" s="2"/>
    </row>
    <row r="81" spans="1:13" ht="15.75" customHeight="1">
      <c r="A81" s="7"/>
      <c r="B81" s="96"/>
      <c r="C81" s="28" t="s">
        <v>17</v>
      </c>
      <c r="D81" s="29">
        <v>123.7</v>
      </c>
      <c r="E81" s="46">
        <f t="shared" si="11"/>
        <v>106.23333333333333</v>
      </c>
      <c r="F81" s="31">
        <f t="shared" si="12"/>
        <v>17.466666666666669</v>
      </c>
      <c r="G81" s="31">
        <f t="shared" si="7"/>
        <v>17.466666666666669</v>
      </c>
      <c r="H81" s="31">
        <f t="shared" si="8"/>
        <v>305.0844444444445</v>
      </c>
      <c r="I81" s="31">
        <f t="shared" si="9"/>
        <v>14.120183239019132</v>
      </c>
      <c r="J81" s="31">
        <f t="shared" si="10"/>
        <v>14.120183239019132</v>
      </c>
      <c r="K81" s="2"/>
      <c r="L81" s="2"/>
      <c r="M81" s="2"/>
    </row>
    <row r="82" spans="1:13" ht="15.75" customHeight="1">
      <c r="A82" s="7"/>
      <c r="B82" s="96"/>
      <c r="C82" s="28" t="s">
        <v>18</v>
      </c>
      <c r="D82" s="37">
        <v>139.5</v>
      </c>
      <c r="E82" s="46">
        <f t="shared" si="11"/>
        <v>110.98571428571428</v>
      </c>
      <c r="F82" s="31">
        <f t="shared" si="12"/>
        <v>28.51428571428572</v>
      </c>
      <c r="G82" s="31">
        <f t="shared" si="7"/>
        <v>28.51428571428572</v>
      </c>
      <c r="H82" s="31">
        <f t="shared" si="8"/>
        <v>813.06448979591869</v>
      </c>
      <c r="I82" s="31">
        <f t="shared" si="9"/>
        <v>20.440348182283667</v>
      </c>
      <c r="J82" s="31">
        <f t="shared" si="10"/>
        <v>20.440348182283667</v>
      </c>
      <c r="K82" s="2"/>
      <c r="L82" s="2"/>
      <c r="M82" s="2"/>
    </row>
    <row r="83" spans="1:13" ht="15.75" customHeight="1">
      <c r="A83" s="7"/>
      <c r="B83" s="96"/>
      <c r="C83" s="28" t="s">
        <v>19</v>
      </c>
      <c r="D83" s="29">
        <v>129.80000000000001</v>
      </c>
      <c r="E83" s="46">
        <f t="shared" si="11"/>
        <v>113.33750000000001</v>
      </c>
      <c r="F83" s="31">
        <f t="shared" si="12"/>
        <v>16.462500000000006</v>
      </c>
      <c r="G83" s="31">
        <f t="shared" si="7"/>
        <v>16.462500000000006</v>
      </c>
      <c r="H83" s="31">
        <f t="shared" si="8"/>
        <v>271.01390625000016</v>
      </c>
      <c r="I83" s="31">
        <f t="shared" si="9"/>
        <v>12.682973805855166</v>
      </c>
      <c r="J83" s="31">
        <f t="shared" si="10"/>
        <v>12.682973805855166</v>
      </c>
      <c r="K83" s="2"/>
      <c r="L83" s="2"/>
      <c r="M83" s="2"/>
    </row>
    <row r="84" spans="1:13" ht="14.25">
      <c r="B84" s="96"/>
      <c r="C84" s="28" t="s">
        <v>20</v>
      </c>
      <c r="D84" s="29">
        <v>115.9</v>
      </c>
      <c r="E84" s="46">
        <f t="shared" si="11"/>
        <v>113.62222222222222</v>
      </c>
      <c r="F84" s="31">
        <f t="shared" si="12"/>
        <v>2.2777777777777857</v>
      </c>
      <c r="G84" s="31">
        <f t="shared" si="7"/>
        <v>2.2777777777777857</v>
      </c>
      <c r="H84" s="31">
        <f t="shared" si="8"/>
        <v>5.1882716049383077</v>
      </c>
      <c r="I84" s="31">
        <f t="shared" si="9"/>
        <v>1.9652957530438184</v>
      </c>
      <c r="J84" s="31">
        <f t="shared" si="10"/>
        <v>1.9652957530438184</v>
      </c>
    </row>
    <row r="85" spans="1:13" ht="14.25">
      <c r="B85" s="96"/>
      <c r="C85" s="28" t="s">
        <v>21</v>
      </c>
      <c r="D85" s="29">
        <v>106.5</v>
      </c>
      <c r="E85" s="46">
        <f t="shared" si="11"/>
        <v>112.91</v>
      </c>
      <c r="F85" s="31">
        <f t="shared" si="12"/>
        <v>-6.4099999999999966</v>
      </c>
      <c r="G85" s="31">
        <f t="shared" si="7"/>
        <v>6.4099999999999966</v>
      </c>
      <c r="H85" s="31">
        <f t="shared" si="8"/>
        <v>41.088099999999955</v>
      </c>
      <c r="I85" s="31">
        <f t="shared" si="9"/>
        <v>-6.0187793427230014</v>
      </c>
      <c r="J85" s="31">
        <f t="shared" si="10"/>
        <v>6.0187793427230014</v>
      </c>
    </row>
    <row r="86" spans="1:13" ht="15.75" customHeight="1">
      <c r="B86" s="96"/>
      <c r="C86" s="28" t="s">
        <v>22</v>
      </c>
      <c r="D86" s="29">
        <v>76.7</v>
      </c>
      <c r="E86" s="46">
        <f t="shared" si="11"/>
        <v>109.61818181818181</v>
      </c>
      <c r="F86" s="31">
        <f t="shared" si="12"/>
        <v>-32.918181818181807</v>
      </c>
      <c r="G86" s="31">
        <f t="shared" si="7"/>
        <v>32.918181818181807</v>
      </c>
      <c r="H86" s="31">
        <f t="shared" si="8"/>
        <v>1083.6066942148752</v>
      </c>
      <c r="I86" s="31">
        <f t="shared" si="9"/>
        <v>-42.918098850302222</v>
      </c>
      <c r="J86" s="31">
        <f t="shared" si="10"/>
        <v>42.918098850302222</v>
      </c>
    </row>
    <row r="87" spans="1:13" ht="15.75" customHeight="1">
      <c r="B87" s="97"/>
      <c r="C87" s="28" t="s">
        <v>23</v>
      </c>
      <c r="D87" s="29">
        <v>149.30000000000001</v>
      </c>
      <c r="E87" s="46">
        <f t="shared" si="11"/>
        <v>112.925</v>
      </c>
      <c r="F87" s="31">
        <f t="shared" si="12"/>
        <v>36.375000000000014</v>
      </c>
      <c r="G87" s="31">
        <f t="shared" si="7"/>
        <v>36.375000000000014</v>
      </c>
      <c r="H87" s="31">
        <f t="shared" si="8"/>
        <v>1323.1406250000011</v>
      </c>
      <c r="I87" s="31">
        <f t="shared" si="9"/>
        <v>24.363697253851313</v>
      </c>
      <c r="J87" s="31">
        <f t="shared" si="10"/>
        <v>24.363697253851313</v>
      </c>
    </row>
    <row r="88" spans="1:13" ht="15.75" customHeight="1">
      <c r="B88" s="98">
        <v>2022</v>
      </c>
      <c r="C88" s="38" t="s">
        <v>12</v>
      </c>
      <c r="D88" s="39">
        <v>101.1</v>
      </c>
      <c r="E88" s="46">
        <f t="shared" si="11"/>
        <v>112.0153846153846</v>
      </c>
      <c r="F88" s="31">
        <f t="shared" si="12"/>
        <v>-10.91538461538461</v>
      </c>
      <c r="G88" s="31">
        <f t="shared" si="7"/>
        <v>10.91538461538461</v>
      </c>
      <c r="H88" s="31">
        <f t="shared" si="8"/>
        <v>119.14562130177504</v>
      </c>
      <c r="I88" s="31">
        <f t="shared" si="9"/>
        <v>-10.796621775850259</v>
      </c>
      <c r="J88" s="31">
        <f t="shared" si="10"/>
        <v>10.796621775850259</v>
      </c>
    </row>
    <row r="89" spans="1:13" ht="15.75" customHeight="1">
      <c r="B89" s="96"/>
      <c r="C89" s="38" t="s">
        <v>13</v>
      </c>
      <c r="D89" s="39">
        <v>77.599999999999994</v>
      </c>
      <c r="E89" s="46">
        <f t="shared" si="11"/>
        <v>109.55714285714284</v>
      </c>
      <c r="F89" s="31">
        <f t="shared" si="12"/>
        <v>-31.957142857142841</v>
      </c>
      <c r="G89" s="31">
        <f t="shared" si="7"/>
        <v>31.957142857142841</v>
      </c>
      <c r="H89" s="31">
        <f t="shared" si="8"/>
        <v>1021.2589795918357</v>
      </c>
      <c r="I89" s="31">
        <f t="shared" si="9"/>
        <v>-41.181885125184074</v>
      </c>
      <c r="J89" s="31">
        <f t="shared" si="10"/>
        <v>41.181885125184074</v>
      </c>
    </row>
    <row r="90" spans="1:13" ht="15.75" customHeight="1">
      <c r="B90" s="96"/>
      <c r="C90" s="38" t="s">
        <v>14</v>
      </c>
      <c r="D90" s="39">
        <v>121.8</v>
      </c>
      <c r="E90" s="46">
        <f t="shared" si="11"/>
        <v>110.37333333333331</v>
      </c>
      <c r="F90" s="31">
        <f t="shared" si="12"/>
        <v>11.426666666666691</v>
      </c>
      <c r="G90" s="31">
        <f t="shared" si="7"/>
        <v>11.426666666666691</v>
      </c>
      <c r="H90" s="31">
        <f t="shared" si="8"/>
        <v>130.56871111111167</v>
      </c>
      <c r="I90" s="31">
        <f t="shared" si="9"/>
        <v>9.3814997263273323</v>
      </c>
      <c r="J90" s="31">
        <f t="shared" si="10"/>
        <v>9.3814997263273323</v>
      </c>
    </row>
    <row r="91" spans="1:13" ht="15.75" customHeight="1">
      <c r="B91" s="96"/>
      <c r="C91" s="38" t="s">
        <v>15</v>
      </c>
      <c r="D91" s="41">
        <v>109.2</v>
      </c>
      <c r="E91" s="46">
        <f t="shared" si="11"/>
        <v>110.29999999999998</v>
      </c>
      <c r="F91" s="31">
        <f t="shared" si="12"/>
        <v>-1.0999999999999801</v>
      </c>
      <c r="G91" s="31">
        <f t="shared" si="7"/>
        <v>1.0999999999999801</v>
      </c>
      <c r="H91" s="31">
        <f t="shared" si="8"/>
        <v>1.2099999999999562</v>
      </c>
      <c r="I91" s="31">
        <f t="shared" si="9"/>
        <v>-1.0073260073259891</v>
      </c>
      <c r="J91" s="31">
        <f t="shared" si="10"/>
        <v>1.0073260073259891</v>
      </c>
    </row>
    <row r="92" spans="1:13" ht="15.75" customHeight="1">
      <c r="B92" s="96"/>
      <c r="C92" s="38" t="s">
        <v>16</v>
      </c>
      <c r="D92" s="39">
        <v>118.7</v>
      </c>
      <c r="E92" s="46">
        <f t="shared" si="11"/>
        <v>110.79411764705881</v>
      </c>
      <c r="F92" s="31">
        <f t="shared" si="12"/>
        <v>7.905882352941191</v>
      </c>
      <c r="G92" s="31">
        <f t="shared" si="7"/>
        <v>7.905882352941191</v>
      </c>
      <c r="H92" s="31">
        <f t="shared" si="8"/>
        <v>62.50297577854694</v>
      </c>
      <c r="I92" s="31">
        <f t="shared" si="9"/>
        <v>6.6603895138510447</v>
      </c>
      <c r="J92" s="31">
        <f t="shared" si="10"/>
        <v>6.6603895138510447</v>
      </c>
    </row>
    <row r="93" spans="1:13" ht="15.75" customHeight="1">
      <c r="B93" s="96"/>
      <c r="C93" s="38" t="s">
        <v>17</v>
      </c>
      <c r="D93" s="39">
        <v>127.1</v>
      </c>
      <c r="E93" s="46">
        <f t="shared" si="11"/>
        <v>111.69999999999999</v>
      </c>
      <c r="F93" s="31">
        <f t="shared" si="12"/>
        <v>15.400000000000006</v>
      </c>
      <c r="G93" s="31">
        <f t="shared" si="7"/>
        <v>15.400000000000006</v>
      </c>
      <c r="H93" s="31">
        <f t="shared" si="8"/>
        <v>237.16000000000017</v>
      </c>
      <c r="I93" s="31">
        <f t="shared" si="9"/>
        <v>12.116443745082616</v>
      </c>
      <c r="J93" s="31">
        <f t="shared" si="10"/>
        <v>12.116443745082616</v>
      </c>
    </row>
    <row r="94" spans="1:13" ht="15.75" customHeight="1">
      <c r="B94" s="96"/>
      <c r="C94" s="38" t="s">
        <v>18</v>
      </c>
      <c r="D94" s="41">
        <v>135.4</v>
      </c>
      <c r="E94" s="46">
        <f t="shared" si="11"/>
        <v>112.9473684210526</v>
      </c>
      <c r="F94" s="31">
        <f t="shared" si="12"/>
        <v>22.452631578947404</v>
      </c>
      <c r="G94" s="31">
        <f t="shared" si="7"/>
        <v>22.452631578947404</v>
      </c>
      <c r="H94" s="31">
        <f t="shared" si="8"/>
        <v>504.12066481994617</v>
      </c>
      <c r="I94" s="31">
        <f t="shared" si="9"/>
        <v>16.582445774702663</v>
      </c>
      <c r="J94" s="31">
        <f t="shared" si="10"/>
        <v>16.582445774702663</v>
      </c>
    </row>
    <row r="95" spans="1:13" ht="15.75" customHeight="1">
      <c r="B95" s="96"/>
      <c r="C95" s="38" t="s">
        <v>19</v>
      </c>
      <c r="D95" s="42">
        <v>130.69999999999999</v>
      </c>
      <c r="E95" s="46">
        <f t="shared" si="11"/>
        <v>113.83499999999997</v>
      </c>
      <c r="F95" s="31">
        <f t="shared" si="12"/>
        <v>16.865000000000023</v>
      </c>
      <c r="G95" s="31">
        <f t="shared" si="7"/>
        <v>16.865000000000023</v>
      </c>
      <c r="H95" s="31">
        <f t="shared" si="8"/>
        <v>284.42822500000079</v>
      </c>
      <c r="I95" s="31">
        <f t="shared" si="9"/>
        <v>12.903596021423125</v>
      </c>
      <c r="J95" s="31">
        <f t="shared" si="10"/>
        <v>12.903596021423125</v>
      </c>
    </row>
    <row r="96" spans="1:13" ht="15.75" customHeight="1">
      <c r="A96" s="48"/>
      <c r="B96" s="96"/>
      <c r="C96" s="38" t="s">
        <v>20</v>
      </c>
      <c r="D96" s="39">
        <v>118.2</v>
      </c>
      <c r="E96" s="46">
        <f t="shared" si="11"/>
        <v>114.0428571428571</v>
      </c>
      <c r="F96" s="31">
        <f t="shared" si="12"/>
        <v>4.157142857142901</v>
      </c>
      <c r="G96" s="31">
        <f t="shared" si="7"/>
        <v>4.157142857142901</v>
      </c>
      <c r="H96" s="31">
        <f t="shared" si="8"/>
        <v>17.281836734694242</v>
      </c>
      <c r="I96" s="31">
        <f t="shared" si="9"/>
        <v>3.5170413343002549</v>
      </c>
      <c r="J96" s="31">
        <f t="shared" si="10"/>
        <v>3.5170413343002549</v>
      </c>
    </row>
    <row r="97" spans="1:10" ht="15.75" customHeight="1">
      <c r="B97" s="96"/>
      <c r="C97" s="38" t="s">
        <v>21</v>
      </c>
      <c r="D97" s="39">
        <v>110.4</v>
      </c>
      <c r="E97" s="46">
        <f t="shared" si="11"/>
        <v>113.8772727272727</v>
      </c>
      <c r="F97" s="31">
        <f t="shared" si="12"/>
        <v>-3.4772727272726911</v>
      </c>
      <c r="G97" s="31">
        <f t="shared" si="7"/>
        <v>3.4772727272726911</v>
      </c>
      <c r="H97" s="31">
        <f t="shared" si="8"/>
        <v>12.091425619834459</v>
      </c>
      <c r="I97" s="31">
        <f t="shared" si="9"/>
        <v>-3.1497035573122201</v>
      </c>
      <c r="J97" s="31">
        <f t="shared" si="10"/>
        <v>3.1497035573122201</v>
      </c>
    </row>
    <row r="98" spans="1:10" ht="15.75" customHeight="1">
      <c r="B98" s="96"/>
      <c r="C98" s="38" t="s">
        <v>22</v>
      </c>
      <c r="D98" s="39">
        <v>77.400000000000006</v>
      </c>
      <c r="E98" s="46">
        <f t="shared" si="11"/>
        <v>112.29130434782606</v>
      </c>
      <c r="F98" s="31">
        <f t="shared" si="12"/>
        <v>-34.891304347826051</v>
      </c>
      <c r="G98" s="31">
        <f t="shared" si="7"/>
        <v>34.891304347826051</v>
      </c>
      <c r="H98" s="31">
        <f t="shared" si="8"/>
        <v>1217.403119092625</v>
      </c>
      <c r="I98" s="31">
        <f t="shared" si="9"/>
        <v>-45.079204583754581</v>
      </c>
      <c r="J98" s="31">
        <f t="shared" si="10"/>
        <v>45.079204583754581</v>
      </c>
    </row>
    <row r="99" spans="1:10" ht="15.75" customHeight="1">
      <c r="B99" s="97"/>
      <c r="C99" s="38" t="s">
        <v>23</v>
      </c>
      <c r="D99" s="39">
        <v>152.1</v>
      </c>
      <c r="E99" s="46">
        <f t="shared" si="11"/>
        <v>113.94999999999997</v>
      </c>
      <c r="F99" s="31">
        <f t="shared" si="12"/>
        <v>38.15000000000002</v>
      </c>
      <c r="G99" s="31">
        <f t="shared" si="7"/>
        <v>38.15000000000002</v>
      </c>
      <c r="H99" s="31">
        <f t="shared" si="8"/>
        <v>1455.4225000000015</v>
      </c>
      <c r="I99" s="31">
        <f t="shared" si="9"/>
        <v>25.08218277449048</v>
      </c>
      <c r="J99" s="31">
        <f t="shared" si="10"/>
        <v>25.08218277449048</v>
      </c>
    </row>
    <row r="100" spans="1:10" ht="15.75" customHeight="1">
      <c r="A100" s="61"/>
      <c r="B100" s="99">
        <v>2023</v>
      </c>
      <c r="C100" s="44" t="s">
        <v>12</v>
      </c>
      <c r="D100" s="45">
        <v>99.7</v>
      </c>
      <c r="E100" s="46">
        <f t="shared" si="11"/>
        <v>113.37999999999997</v>
      </c>
      <c r="F100" s="31">
        <f t="shared" si="12"/>
        <v>-13.679999999999964</v>
      </c>
      <c r="G100" s="31">
        <f t="shared" si="7"/>
        <v>13.679999999999964</v>
      </c>
      <c r="H100" s="31">
        <f t="shared" si="8"/>
        <v>187.14239999999901</v>
      </c>
      <c r="I100" s="31">
        <f t="shared" si="9"/>
        <v>-13.721163490471378</v>
      </c>
      <c r="J100" s="31">
        <f t="shared" si="10"/>
        <v>13.721163490471378</v>
      </c>
    </row>
    <row r="101" spans="1:10" ht="15.75" customHeight="1">
      <c r="A101" s="61"/>
      <c r="B101" s="96"/>
      <c r="C101" s="44" t="s">
        <v>13</v>
      </c>
      <c r="D101" s="45">
        <v>75.400000000000006</v>
      </c>
      <c r="E101" s="46">
        <f t="shared" si="11"/>
        <v>111.91923076923074</v>
      </c>
      <c r="F101" s="31">
        <f t="shared" si="12"/>
        <v>-36.519230769230731</v>
      </c>
      <c r="G101" s="31">
        <f t="shared" si="7"/>
        <v>36.519230769230731</v>
      </c>
      <c r="H101" s="31">
        <f t="shared" si="8"/>
        <v>1333.6542159763285</v>
      </c>
      <c r="I101" s="31">
        <f t="shared" si="9"/>
        <v>-48.433993062640226</v>
      </c>
      <c r="J101" s="31">
        <f t="shared" si="10"/>
        <v>48.433993062640226</v>
      </c>
    </row>
    <row r="102" spans="1:10" ht="15.75" customHeight="1">
      <c r="A102" s="61"/>
      <c r="B102" s="96"/>
      <c r="C102" s="44" t="s">
        <v>14</v>
      </c>
      <c r="D102" s="45">
        <v>122.5</v>
      </c>
      <c r="E102" s="46">
        <f t="shared" si="11"/>
        <v>112.31111111111107</v>
      </c>
      <c r="F102" s="31">
        <f t="shared" si="12"/>
        <v>10.188888888888926</v>
      </c>
      <c r="G102" s="31">
        <f t="shared" si="7"/>
        <v>10.188888888888926</v>
      </c>
      <c r="H102" s="31">
        <f t="shared" si="8"/>
        <v>103.81345679012421</v>
      </c>
      <c r="I102" s="31">
        <f t="shared" si="9"/>
        <v>8.3174603174603465</v>
      </c>
      <c r="J102" s="31">
        <f t="shared" si="10"/>
        <v>8.3174603174603465</v>
      </c>
    </row>
    <row r="103" spans="1:10" ht="15.75" customHeight="1">
      <c r="A103" s="61"/>
      <c r="B103" s="96"/>
      <c r="C103" s="44" t="s">
        <v>15</v>
      </c>
      <c r="D103" s="47">
        <v>112.3</v>
      </c>
      <c r="E103" s="46">
        <f t="shared" si="11"/>
        <v>112.31071428571427</v>
      </c>
      <c r="F103" s="31">
        <f t="shared" si="12"/>
        <v>-1.0714285714271909E-2</v>
      </c>
      <c r="G103" s="31">
        <f t="shared" si="7"/>
        <v>1.0714285714271909E-2</v>
      </c>
      <c r="H103" s="31">
        <f t="shared" si="8"/>
        <v>1.1479591836705112E-4</v>
      </c>
      <c r="I103" s="31">
        <f t="shared" si="9"/>
        <v>-9.5407708942759663E-3</v>
      </c>
      <c r="J103" s="31">
        <f t="shared" si="10"/>
        <v>9.5407708942759663E-3</v>
      </c>
    </row>
    <row r="104" spans="1:10" ht="15.75" customHeight="1">
      <c r="A104" s="61"/>
      <c r="B104" s="96"/>
      <c r="C104" s="44" t="s">
        <v>16</v>
      </c>
      <c r="D104" s="45">
        <v>116.4</v>
      </c>
      <c r="E104" s="46">
        <f t="shared" si="11"/>
        <v>112.45172413793101</v>
      </c>
      <c r="F104" s="31">
        <f t="shared" si="12"/>
        <v>3.9482758620689964</v>
      </c>
      <c r="G104" s="31">
        <f t="shared" si="7"/>
        <v>3.9482758620689964</v>
      </c>
      <c r="H104" s="31">
        <f t="shared" si="8"/>
        <v>15.588882282996677</v>
      </c>
      <c r="I104" s="31">
        <f t="shared" si="9"/>
        <v>3.3919895722242237</v>
      </c>
      <c r="J104" s="31">
        <f t="shared" si="10"/>
        <v>3.3919895722242237</v>
      </c>
    </row>
    <row r="105" spans="1:10" ht="15.75" customHeight="1">
      <c r="A105" s="61"/>
      <c r="B105" s="96"/>
      <c r="C105" s="44" t="s">
        <v>17</v>
      </c>
      <c r="D105" s="45">
        <v>125.5</v>
      </c>
      <c r="E105" s="46">
        <f t="shared" si="11"/>
        <v>112.88666666666664</v>
      </c>
      <c r="F105" s="31">
        <f t="shared" si="12"/>
        <v>12.613333333333358</v>
      </c>
      <c r="G105" s="31">
        <f t="shared" si="7"/>
        <v>12.613333333333358</v>
      </c>
      <c r="H105" s="31">
        <f t="shared" si="8"/>
        <v>159.09617777777839</v>
      </c>
      <c r="I105" s="31">
        <f t="shared" si="9"/>
        <v>10.050464807436938</v>
      </c>
      <c r="J105" s="31">
        <f t="shared" si="10"/>
        <v>10.050464807436938</v>
      </c>
    </row>
    <row r="106" spans="1:10" ht="15.75" customHeight="1">
      <c r="A106" s="61"/>
      <c r="B106" s="96"/>
      <c r="C106" s="44" t="s">
        <v>18</v>
      </c>
      <c r="D106" s="47">
        <v>114.3</v>
      </c>
      <c r="E106" s="46">
        <f t="shared" si="11"/>
        <v>112.93225806451612</v>
      </c>
      <c r="F106" s="31">
        <f t="shared" si="12"/>
        <v>1.3677419354838776</v>
      </c>
      <c r="G106" s="31">
        <f t="shared" si="7"/>
        <v>1.3677419354838776</v>
      </c>
      <c r="H106" s="31">
        <f t="shared" si="8"/>
        <v>1.8707180020811836</v>
      </c>
      <c r="I106" s="31">
        <f t="shared" si="9"/>
        <v>1.196624615471459</v>
      </c>
      <c r="J106" s="31">
        <f t="shared" si="10"/>
        <v>1.196624615471459</v>
      </c>
    </row>
    <row r="107" spans="1:10" ht="15.75" customHeight="1">
      <c r="A107" s="61"/>
      <c r="B107" s="96"/>
      <c r="C107" s="44" t="s">
        <v>19</v>
      </c>
      <c r="D107" s="49">
        <v>127.9</v>
      </c>
      <c r="E107" s="46">
        <f t="shared" si="11"/>
        <v>113.39999999999999</v>
      </c>
      <c r="F107" s="31">
        <f t="shared" si="12"/>
        <v>14.500000000000014</v>
      </c>
      <c r="G107" s="31">
        <f t="shared" si="7"/>
        <v>14.500000000000014</v>
      </c>
      <c r="H107" s="31">
        <f t="shared" si="8"/>
        <v>210.2500000000004</v>
      </c>
      <c r="I107" s="31">
        <f t="shared" si="9"/>
        <v>11.336982017200949</v>
      </c>
      <c r="J107" s="31">
        <f t="shared" si="10"/>
        <v>11.336982017200949</v>
      </c>
    </row>
    <row r="108" spans="1:10" ht="15.75" customHeight="1">
      <c r="A108" s="61"/>
      <c r="B108" s="96"/>
      <c r="C108" s="44" t="s">
        <v>20</v>
      </c>
      <c r="D108" s="29">
        <v>119.6</v>
      </c>
      <c r="E108" s="46">
        <f t="shared" si="11"/>
        <v>113.58787878787878</v>
      </c>
      <c r="F108" s="31">
        <f t="shared" si="12"/>
        <v>6.0121212121212153</v>
      </c>
      <c r="G108" s="31">
        <f t="shared" si="7"/>
        <v>6.0121212121212153</v>
      </c>
      <c r="H108" s="31">
        <f t="shared" si="8"/>
        <v>36.145601469237874</v>
      </c>
      <c r="I108" s="31">
        <f t="shared" si="9"/>
        <v>5.0268572007702472</v>
      </c>
      <c r="J108" s="31">
        <f t="shared" si="10"/>
        <v>5.0268572007702472</v>
      </c>
    </row>
    <row r="109" spans="1:10" ht="15.75" customHeight="1">
      <c r="A109" s="61"/>
      <c r="B109" s="96"/>
      <c r="C109" s="44" t="s">
        <v>21</v>
      </c>
      <c r="D109" s="29">
        <v>108.7</v>
      </c>
      <c r="E109" s="46">
        <f t="shared" si="11"/>
        <v>113.4441176470588</v>
      </c>
      <c r="F109" s="31">
        <f t="shared" si="12"/>
        <v>-4.7441176470588005</v>
      </c>
      <c r="G109" s="31">
        <f t="shared" si="7"/>
        <v>4.7441176470588005</v>
      </c>
      <c r="H109" s="31">
        <f t="shared" si="8"/>
        <v>22.506652249134728</v>
      </c>
      <c r="I109" s="31">
        <f t="shared" si="9"/>
        <v>-4.364413658747746</v>
      </c>
      <c r="J109" s="31">
        <f t="shared" si="10"/>
        <v>4.364413658747746</v>
      </c>
    </row>
    <row r="110" spans="1:10" ht="15.75" customHeight="1">
      <c r="A110" s="61"/>
      <c r="B110" s="96"/>
      <c r="C110" s="44" t="s">
        <v>22</v>
      </c>
      <c r="D110" s="29">
        <v>78.5</v>
      </c>
      <c r="E110" s="46">
        <f t="shared" si="11"/>
        <v>112.44571428571427</v>
      </c>
      <c r="F110" s="31">
        <f t="shared" si="12"/>
        <v>-33.945714285714274</v>
      </c>
      <c r="G110" s="31">
        <f t="shared" si="7"/>
        <v>33.945714285714274</v>
      </c>
      <c r="H110" s="31">
        <f t="shared" si="8"/>
        <v>1152.3115183673463</v>
      </c>
      <c r="I110" s="31">
        <f t="shared" si="9"/>
        <v>-43.242948134667863</v>
      </c>
      <c r="J110" s="31">
        <f t="shared" si="10"/>
        <v>43.242948134667863</v>
      </c>
    </row>
    <row r="111" spans="1:10" ht="15.75" customHeight="1">
      <c r="A111" s="61"/>
      <c r="B111" s="97"/>
      <c r="C111" s="44" t="s">
        <v>23</v>
      </c>
      <c r="D111" s="29">
        <v>150.80000000000001</v>
      </c>
      <c r="E111" s="46">
        <f t="shared" si="11"/>
        <v>113.51111111111111</v>
      </c>
      <c r="F111" s="31">
        <f t="shared" si="12"/>
        <v>37.288888888888906</v>
      </c>
      <c r="G111" s="31">
        <f t="shared" si="7"/>
        <v>37.288888888888906</v>
      </c>
      <c r="H111" s="31">
        <f t="shared" si="8"/>
        <v>1390.4612345679025</v>
      </c>
      <c r="I111" s="31">
        <f t="shared" si="9"/>
        <v>24.727379899793704</v>
      </c>
      <c r="J111" s="31">
        <f t="shared" si="10"/>
        <v>24.727379899793704</v>
      </c>
    </row>
    <row r="112" spans="1:10" ht="15.75" customHeight="1">
      <c r="A112" s="61"/>
      <c r="B112" s="55"/>
      <c r="C112" s="55"/>
      <c r="D112" s="55"/>
      <c r="E112" s="54" t="s">
        <v>34</v>
      </c>
      <c r="F112" s="30">
        <f t="shared" ref="F112:J112" si="13">SUM(F76:F111)</f>
        <v>123.78874038168773</v>
      </c>
      <c r="G112" s="30">
        <f t="shared" si="13"/>
        <v>570.32686708873973</v>
      </c>
      <c r="H112" s="30">
        <f t="shared" si="13"/>
        <v>14424.635787639396</v>
      </c>
      <c r="I112" s="30">
        <f t="shared" si="13"/>
        <v>-15.833722641543297</v>
      </c>
      <c r="J112" s="30">
        <f t="shared" si="13"/>
        <v>538.9037439683143</v>
      </c>
    </row>
    <row r="113" spans="1:10" ht="15.75" customHeight="1">
      <c r="A113" s="61"/>
      <c r="B113" s="95">
        <v>2024</v>
      </c>
      <c r="C113" s="52" t="s">
        <v>12</v>
      </c>
      <c r="D113" s="55">
        <v>100.5</v>
      </c>
      <c r="E113" s="46">
        <f t="shared" ref="E113:E124" si="14">AVERAGE($D$76:D113)</f>
        <v>113.15945945945946</v>
      </c>
      <c r="F113" s="33"/>
      <c r="G113" s="33"/>
      <c r="H113" s="31"/>
      <c r="I113" s="34"/>
      <c r="J113" s="35"/>
    </row>
    <row r="114" spans="1:10" ht="15.75" customHeight="1">
      <c r="A114" s="61"/>
      <c r="B114" s="96"/>
      <c r="C114" s="52" t="s">
        <v>13</v>
      </c>
      <c r="D114" s="55">
        <v>76</v>
      </c>
      <c r="E114" s="46">
        <f t="shared" si="14"/>
        <v>112.18157894736841</v>
      </c>
      <c r="F114" s="33"/>
      <c r="G114" s="33"/>
      <c r="H114" s="31"/>
      <c r="I114" s="34"/>
      <c r="J114" s="35"/>
    </row>
    <row r="115" spans="1:10" ht="15.75" customHeight="1">
      <c r="B115" s="96"/>
      <c r="C115" s="52" t="s">
        <v>14</v>
      </c>
      <c r="D115" s="55">
        <v>122.5</v>
      </c>
      <c r="E115" s="46">
        <f t="shared" si="14"/>
        <v>112.44615384615383</v>
      </c>
      <c r="F115" s="33"/>
      <c r="G115" s="33"/>
      <c r="H115" s="31"/>
      <c r="I115" s="34"/>
      <c r="J115" s="35"/>
    </row>
    <row r="116" spans="1:10" ht="15.75" customHeight="1">
      <c r="B116" s="96"/>
      <c r="C116" s="52" t="s">
        <v>15</v>
      </c>
      <c r="D116" s="55">
        <v>110.8</v>
      </c>
      <c r="E116" s="46">
        <f t="shared" si="14"/>
        <v>112.405</v>
      </c>
      <c r="F116" s="33"/>
      <c r="G116" s="33"/>
      <c r="H116" s="31"/>
      <c r="I116" s="34"/>
      <c r="J116" s="35"/>
    </row>
    <row r="117" spans="1:10" ht="15.75" customHeight="1">
      <c r="B117" s="96"/>
      <c r="C117" s="52" t="s">
        <v>16</v>
      </c>
      <c r="D117" s="55">
        <v>117</v>
      </c>
      <c r="E117" s="46">
        <f t="shared" si="14"/>
        <v>112.51707317073171</v>
      </c>
      <c r="F117" s="33"/>
      <c r="G117" s="33"/>
      <c r="H117" s="31"/>
      <c r="I117" s="34"/>
      <c r="J117" s="35"/>
    </row>
    <row r="118" spans="1:10" ht="15.75" customHeight="1">
      <c r="B118" s="96"/>
      <c r="C118" s="52" t="s">
        <v>17</v>
      </c>
      <c r="D118" s="55">
        <v>126</v>
      </c>
      <c r="E118" s="46">
        <f t="shared" si="14"/>
        <v>112.83809523809524</v>
      </c>
      <c r="F118" s="33"/>
      <c r="G118" s="33"/>
      <c r="H118" s="31"/>
      <c r="I118" s="34"/>
      <c r="J118" s="35"/>
    </row>
    <row r="119" spans="1:10" ht="15.75" customHeight="1">
      <c r="B119" s="96"/>
      <c r="C119" s="52" t="s">
        <v>18</v>
      </c>
      <c r="D119" s="58">
        <v>65</v>
      </c>
      <c r="E119" s="46">
        <f t="shared" si="14"/>
        <v>111.72558139534884</v>
      </c>
      <c r="F119" s="33"/>
      <c r="G119" s="33"/>
      <c r="H119" s="31"/>
      <c r="I119" s="34"/>
      <c r="J119" s="35"/>
    </row>
    <row r="120" spans="1:10" ht="15.75" customHeight="1">
      <c r="B120" s="96"/>
      <c r="C120" s="52" t="s">
        <v>19</v>
      </c>
      <c r="D120" s="58">
        <v>70</v>
      </c>
      <c r="E120" s="46">
        <f t="shared" si="14"/>
        <v>110.77727272727272</v>
      </c>
      <c r="F120" s="33"/>
      <c r="G120" s="33"/>
      <c r="H120" s="31"/>
      <c r="I120" s="34"/>
      <c r="J120" s="35"/>
    </row>
    <row r="121" spans="1:10" ht="15.75" customHeight="1">
      <c r="B121" s="96"/>
      <c r="C121" s="52" t="s">
        <v>20</v>
      </c>
      <c r="D121" s="58">
        <v>85.5</v>
      </c>
      <c r="E121" s="46">
        <f t="shared" si="14"/>
        <v>110.21555555555555</v>
      </c>
      <c r="F121" s="33"/>
      <c r="G121" s="33"/>
      <c r="H121" s="31"/>
      <c r="I121" s="34"/>
      <c r="J121" s="35"/>
    </row>
    <row r="122" spans="1:10" ht="15.75" customHeight="1">
      <c r="B122" s="96"/>
      <c r="C122" s="52" t="s">
        <v>21</v>
      </c>
      <c r="D122" s="55">
        <v>109.5</v>
      </c>
      <c r="E122" s="46">
        <f t="shared" si="14"/>
        <v>110.2</v>
      </c>
      <c r="F122" s="33"/>
      <c r="G122" s="33"/>
      <c r="H122" s="31"/>
      <c r="I122" s="34"/>
      <c r="J122" s="35"/>
    </row>
    <row r="123" spans="1:10" ht="15.75" customHeight="1">
      <c r="B123" s="96"/>
      <c r="C123" s="52" t="s">
        <v>22</v>
      </c>
      <c r="D123" s="58">
        <v>110</v>
      </c>
      <c r="E123" s="46">
        <f t="shared" si="14"/>
        <v>110.19574468085106</v>
      </c>
      <c r="F123" s="33"/>
      <c r="G123" s="33"/>
      <c r="H123" s="31"/>
      <c r="I123" s="34"/>
      <c r="J123" s="35"/>
    </row>
    <row r="124" spans="1:10" ht="15.75" customHeight="1">
      <c r="B124" s="97"/>
      <c r="C124" s="52" t="s">
        <v>23</v>
      </c>
      <c r="D124" s="65">
        <v>151.5</v>
      </c>
      <c r="E124" s="46">
        <f t="shared" si="14"/>
        <v>111.05624999999999</v>
      </c>
      <c r="F124" s="33"/>
      <c r="G124" s="33"/>
      <c r="H124" s="31"/>
      <c r="I124" s="34"/>
      <c r="J124" s="35"/>
    </row>
    <row r="125" spans="1:10" ht="15.75" customHeight="1">
      <c r="E125" s="66"/>
    </row>
    <row r="126" spans="1:10" ht="15.75" customHeight="1">
      <c r="E126" s="66"/>
    </row>
    <row r="127" spans="1:10" ht="15.75" customHeight="1">
      <c r="C127" s="5" t="s">
        <v>35</v>
      </c>
      <c r="D127" s="67">
        <f>G112</f>
        <v>570.32686708873973</v>
      </c>
      <c r="E127" s="67">
        <v>35</v>
      </c>
      <c r="F127" s="3">
        <f t="shared" ref="F127:F129" si="15">D127/E127</f>
        <v>16.295053345392564</v>
      </c>
    </row>
    <row r="128" spans="1:10" ht="15.75" customHeight="1">
      <c r="C128" s="5" t="s">
        <v>6</v>
      </c>
      <c r="D128" s="67">
        <f>H112</f>
        <v>14424.635787639396</v>
      </c>
      <c r="E128" s="67">
        <v>35</v>
      </c>
      <c r="F128" s="3">
        <f t="shared" si="15"/>
        <v>412.13245107541132</v>
      </c>
    </row>
    <row r="129" spans="2:38" ht="15.75" customHeight="1">
      <c r="C129" s="5" t="s">
        <v>7</v>
      </c>
      <c r="D129" s="67">
        <f>J112</f>
        <v>538.9037439683143</v>
      </c>
      <c r="E129" s="67">
        <v>35</v>
      </c>
      <c r="F129" s="3">
        <f t="shared" si="15"/>
        <v>15.397249827666123</v>
      </c>
    </row>
    <row r="130" spans="2:38" ht="15.75" customHeight="1">
      <c r="E130" s="66"/>
    </row>
    <row r="131" spans="2:38" ht="24.75" customHeight="1">
      <c r="E131" s="66"/>
      <c r="AI131" s="11" t="s">
        <v>37</v>
      </c>
    </row>
    <row r="132" spans="2:38" ht="15" customHeight="1">
      <c r="B132" s="100" t="s">
        <v>38</v>
      </c>
      <c r="C132" s="101"/>
      <c r="D132" s="101"/>
      <c r="E132" s="101"/>
      <c r="F132" s="101"/>
      <c r="G132" s="101"/>
      <c r="H132" s="101"/>
      <c r="I132" s="101"/>
      <c r="J132" s="102"/>
      <c r="L132" s="100" t="s">
        <v>39</v>
      </c>
      <c r="M132" s="101"/>
      <c r="N132" s="101"/>
      <c r="O132" s="101"/>
      <c r="P132" s="101"/>
      <c r="Q132" s="101"/>
      <c r="R132" s="101"/>
      <c r="S132" s="101"/>
      <c r="T132" s="102"/>
      <c r="V132" s="100" t="s">
        <v>40</v>
      </c>
      <c r="W132" s="101"/>
      <c r="X132" s="101"/>
      <c r="Y132" s="101"/>
      <c r="Z132" s="101"/>
      <c r="AA132" s="101"/>
      <c r="AB132" s="101"/>
      <c r="AC132" s="101"/>
      <c r="AD132" s="102"/>
      <c r="AG132" s="24" t="s">
        <v>11</v>
      </c>
      <c r="AH132" s="24" t="s">
        <v>25</v>
      </c>
      <c r="AI132" s="25" t="s">
        <v>26</v>
      </c>
      <c r="AJ132" s="27" t="s">
        <v>41</v>
      </c>
      <c r="AK132" s="27" t="s">
        <v>42</v>
      </c>
      <c r="AL132" s="91" t="s">
        <v>43</v>
      </c>
    </row>
    <row r="133" spans="2:38" ht="30" customHeight="1">
      <c r="B133" s="24" t="s">
        <v>11</v>
      </c>
      <c r="C133" s="24" t="s">
        <v>25</v>
      </c>
      <c r="D133" s="25" t="s">
        <v>26</v>
      </c>
      <c r="E133" s="26" t="s">
        <v>27</v>
      </c>
      <c r="F133" s="25" t="s">
        <v>28</v>
      </c>
      <c r="G133" s="25" t="s">
        <v>29</v>
      </c>
      <c r="H133" s="27" t="s">
        <v>30</v>
      </c>
      <c r="I133" s="25" t="s">
        <v>31</v>
      </c>
      <c r="J133" s="25" t="s">
        <v>32</v>
      </c>
      <c r="L133" s="24" t="s">
        <v>11</v>
      </c>
      <c r="M133" s="24" t="s">
        <v>25</v>
      </c>
      <c r="N133" s="25" t="s">
        <v>26</v>
      </c>
      <c r="O133" s="68" t="s">
        <v>27</v>
      </c>
      <c r="P133" s="25" t="s">
        <v>28</v>
      </c>
      <c r="Q133" s="25" t="s">
        <v>29</v>
      </c>
      <c r="R133" s="27" t="s">
        <v>30</v>
      </c>
      <c r="S133" s="25" t="s">
        <v>31</v>
      </c>
      <c r="T133" s="25" t="s">
        <v>32</v>
      </c>
      <c r="V133" s="24" t="s">
        <v>11</v>
      </c>
      <c r="W133" s="24" t="s">
        <v>25</v>
      </c>
      <c r="X133" s="25" t="s">
        <v>26</v>
      </c>
      <c r="Y133" s="68" t="s">
        <v>27</v>
      </c>
      <c r="Z133" s="25" t="s">
        <v>28</v>
      </c>
      <c r="AA133" s="25" t="s">
        <v>29</v>
      </c>
      <c r="AB133" s="27" t="s">
        <v>30</v>
      </c>
      <c r="AC133" s="25" t="s">
        <v>31</v>
      </c>
      <c r="AD133" s="86" t="s">
        <v>32</v>
      </c>
      <c r="AG133" s="103">
        <v>2021</v>
      </c>
      <c r="AH133" s="28" t="s">
        <v>12</v>
      </c>
      <c r="AI133" s="62">
        <v>98.2</v>
      </c>
      <c r="AJ133" s="31">
        <v>0</v>
      </c>
      <c r="AK133" s="85">
        <v>0</v>
      </c>
      <c r="AL133" s="92">
        <v>0</v>
      </c>
    </row>
    <row r="134" spans="2:38" ht="15.75" customHeight="1">
      <c r="B134" s="103">
        <v>2021</v>
      </c>
      <c r="C134" s="28" t="s">
        <v>12</v>
      </c>
      <c r="D134" s="29">
        <v>98.2</v>
      </c>
      <c r="E134" s="30" t="s">
        <v>44</v>
      </c>
      <c r="F134" s="31" t="s">
        <v>44</v>
      </c>
      <c r="G134" s="31" t="s">
        <v>44</v>
      </c>
      <c r="H134" s="31" t="s">
        <v>44</v>
      </c>
      <c r="I134" s="31" t="s">
        <v>44</v>
      </c>
      <c r="J134" s="31" t="s">
        <v>44</v>
      </c>
      <c r="L134" s="103">
        <v>2021</v>
      </c>
      <c r="M134" s="28" t="s">
        <v>12</v>
      </c>
      <c r="N134" s="45">
        <v>98.2</v>
      </c>
      <c r="O134" s="31" t="s">
        <v>44</v>
      </c>
      <c r="P134" s="31" t="s">
        <v>44</v>
      </c>
      <c r="Q134" s="31" t="s">
        <v>44</v>
      </c>
      <c r="R134" s="31" t="s">
        <v>44</v>
      </c>
      <c r="S134" s="31" t="s">
        <v>44</v>
      </c>
      <c r="T134" s="31" t="s">
        <v>44</v>
      </c>
      <c r="V134" s="103">
        <v>2021</v>
      </c>
      <c r="W134" s="28" t="s">
        <v>12</v>
      </c>
      <c r="X134" s="29">
        <v>98.2</v>
      </c>
      <c r="Y134" s="31" t="s">
        <v>44</v>
      </c>
      <c r="Z134" s="31" t="s">
        <v>44</v>
      </c>
      <c r="AA134" s="31" t="s">
        <v>44</v>
      </c>
      <c r="AB134" s="31" t="s">
        <v>44</v>
      </c>
      <c r="AC134" s="85" t="s">
        <v>44</v>
      </c>
      <c r="AD134" s="88" t="s">
        <v>44</v>
      </c>
      <c r="AG134" s="96"/>
      <c r="AH134" s="28" t="s">
        <v>13</v>
      </c>
      <c r="AI134" s="62">
        <v>72.8</v>
      </c>
      <c r="AJ134" s="64">
        <v>0</v>
      </c>
      <c r="AK134" s="90">
        <v>0</v>
      </c>
      <c r="AL134" s="93">
        <v>0</v>
      </c>
    </row>
    <row r="135" spans="2:38" ht="15.75" customHeight="1">
      <c r="B135" s="96"/>
      <c r="C135" s="28" t="s">
        <v>13</v>
      </c>
      <c r="D135" s="29">
        <v>72.8</v>
      </c>
      <c r="E135" s="46" t="s">
        <v>44</v>
      </c>
      <c r="F135" s="33" t="s">
        <v>44</v>
      </c>
      <c r="G135" s="33" t="s">
        <v>44</v>
      </c>
      <c r="H135" s="31" t="s">
        <v>44</v>
      </c>
      <c r="I135" s="34" t="s">
        <v>44</v>
      </c>
      <c r="J135" s="33" t="s">
        <v>44</v>
      </c>
      <c r="L135" s="96"/>
      <c r="M135" s="28" t="s">
        <v>13</v>
      </c>
      <c r="N135" s="29">
        <v>72.8</v>
      </c>
      <c r="O135" s="45" t="s">
        <v>44</v>
      </c>
      <c r="P135" s="31" t="s">
        <v>44</v>
      </c>
      <c r="Q135" s="31" t="s">
        <v>44</v>
      </c>
      <c r="R135" s="31" t="s">
        <v>44</v>
      </c>
      <c r="S135" s="31" t="s">
        <v>44</v>
      </c>
      <c r="T135" s="31" t="s">
        <v>44</v>
      </c>
      <c r="V135" s="96"/>
      <c r="W135" s="28" t="s">
        <v>13</v>
      </c>
      <c r="X135" s="29">
        <v>72.8</v>
      </c>
      <c r="Y135" s="45" t="s">
        <v>44</v>
      </c>
      <c r="Z135" s="45" t="s">
        <v>44</v>
      </c>
      <c r="AA135" s="45" t="s">
        <v>44</v>
      </c>
      <c r="AB135" s="45" t="s">
        <v>44</v>
      </c>
      <c r="AC135" s="45" t="s">
        <v>44</v>
      </c>
      <c r="AD135" s="89" t="s">
        <v>44</v>
      </c>
      <c r="AG135" s="96"/>
      <c r="AH135" s="28" t="s">
        <v>14</v>
      </c>
      <c r="AI135" s="62">
        <v>119.4</v>
      </c>
      <c r="AJ135" s="46">
        <f t="shared" ref="AJ135:AJ168" si="16">SUM(AI133:AI134)/2</f>
        <v>85.5</v>
      </c>
      <c r="AK135" s="45">
        <v>0</v>
      </c>
      <c r="AL135" s="93">
        <v>0</v>
      </c>
    </row>
    <row r="136" spans="2:38" ht="15.75" customHeight="1">
      <c r="B136" s="96"/>
      <c r="C136" s="28" t="s">
        <v>14</v>
      </c>
      <c r="D136" s="29">
        <v>119.4</v>
      </c>
      <c r="E136" s="46">
        <f t="shared" ref="E136:E169" si="17">SUM(D134:D135)/2</f>
        <v>85.5</v>
      </c>
      <c r="F136" s="30">
        <f t="shared" ref="F136:F169" si="18">D136-E136</f>
        <v>33.900000000000006</v>
      </c>
      <c r="G136" s="30">
        <f t="shared" ref="G136:G169" si="19">ABS(F136)</f>
        <v>33.900000000000006</v>
      </c>
      <c r="H136" s="31">
        <f t="shared" ref="H136:H137" si="20">F136*F136</f>
        <v>1149.2100000000005</v>
      </c>
      <c r="I136" s="70">
        <f t="shared" ref="I136:I169" si="21">F136/D136*100</f>
        <v>28.391959798994975</v>
      </c>
      <c r="J136" s="71">
        <f t="shared" ref="J136:J169" si="22">ABS(I136)</f>
        <v>28.391959798994975</v>
      </c>
      <c r="L136" s="96"/>
      <c r="M136" s="28" t="s">
        <v>14</v>
      </c>
      <c r="N136" s="29">
        <v>119.4</v>
      </c>
      <c r="O136" s="45" t="s">
        <v>44</v>
      </c>
      <c r="P136" s="31" t="s">
        <v>44</v>
      </c>
      <c r="Q136" s="31" t="s">
        <v>44</v>
      </c>
      <c r="R136" s="31" t="s">
        <v>44</v>
      </c>
      <c r="S136" s="31" t="s">
        <v>44</v>
      </c>
      <c r="T136" s="31" t="s">
        <v>44</v>
      </c>
      <c r="V136" s="96"/>
      <c r="W136" s="28" t="s">
        <v>14</v>
      </c>
      <c r="X136" s="29">
        <v>119.4</v>
      </c>
      <c r="Y136" s="45" t="s">
        <v>44</v>
      </c>
      <c r="Z136" s="45" t="s">
        <v>44</v>
      </c>
      <c r="AA136" s="45" t="s">
        <v>44</v>
      </c>
      <c r="AB136" s="45" t="s">
        <v>44</v>
      </c>
      <c r="AC136" s="45" t="s">
        <v>44</v>
      </c>
      <c r="AD136" s="89" t="s">
        <v>44</v>
      </c>
      <c r="AG136" s="96"/>
      <c r="AH136" s="28" t="s">
        <v>15</v>
      </c>
      <c r="AI136" s="72">
        <v>107.5</v>
      </c>
      <c r="AJ136" s="46">
        <f t="shared" si="16"/>
        <v>96.1</v>
      </c>
      <c r="AK136" s="47">
        <v>96.8</v>
      </c>
      <c r="AL136" s="93">
        <v>0</v>
      </c>
    </row>
    <row r="137" spans="2:38" ht="15.75" customHeight="1">
      <c r="B137" s="96"/>
      <c r="C137" s="28" t="s">
        <v>15</v>
      </c>
      <c r="D137" s="37">
        <v>107.5</v>
      </c>
      <c r="E137" s="46">
        <f t="shared" si="17"/>
        <v>96.1</v>
      </c>
      <c r="F137" s="31">
        <f t="shared" si="18"/>
        <v>11.400000000000006</v>
      </c>
      <c r="G137" s="30">
        <f t="shared" si="19"/>
        <v>11.400000000000006</v>
      </c>
      <c r="H137" s="31">
        <f t="shared" si="20"/>
        <v>129.96000000000012</v>
      </c>
      <c r="I137" s="70">
        <f t="shared" si="21"/>
        <v>10.604651162790702</v>
      </c>
      <c r="J137" s="71">
        <f t="shared" si="22"/>
        <v>10.604651162790702</v>
      </c>
      <c r="L137" s="96"/>
      <c r="M137" s="28" t="s">
        <v>15</v>
      </c>
      <c r="N137" s="37">
        <v>107.5</v>
      </c>
      <c r="O137" s="37">
        <f t="shared" ref="O137:O169" si="23">SUM(N134:N136)/3</f>
        <v>96.8</v>
      </c>
      <c r="P137" s="31">
        <f t="shared" ref="P137:P169" si="24">N137-O137</f>
        <v>10.700000000000003</v>
      </c>
      <c r="Q137" s="31">
        <f t="shared" ref="Q137:Q169" si="25">ABS(P137)</f>
        <v>10.700000000000003</v>
      </c>
      <c r="R137" s="31">
        <f t="shared" ref="R137:R169" si="26">SUM(P137)^2</f>
        <v>114.49000000000007</v>
      </c>
      <c r="S137" s="70">
        <f t="shared" ref="S137:S138" si="27">SUM(P137)</f>
        <v>10.700000000000003</v>
      </c>
      <c r="T137" s="74">
        <f t="shared" ref="T137:T169" si="28">ABS(S137)</f>
        <v>10.700000000000003</v>
      </c>
      <c r="V137" s="96"/>
      <c r="W137" s="28" t="s">
        <v>15</v>
      </c>
      <c r="X137" s="37">
        <v>107.5</v>
      </c>
      <c r="Y137" s="45" t="s">
        <v>44</v>
      </c>
      <c r="Z137" s="45" t="s">
        <v>44</v>
      </c>
      <c r="AA137" s="45" t="s">
        <v>44</v>
      </c>
      <c r="AB137" s="45" t="s">
        <v>44</v>
      </c>
      <c r="AC137" s="45" t="s">
        <v>44</v>
      </c>
      <c r="AD137" s="89" t="s">
        <v>44</v>
      </c>
      <c r="AG137" s="96"/>
      <c r="AH137" s="28" t="s">
        <v>16</v>
      </c>
      <c r="AI137" s="62">
        <v>115.8</v>
      </c>
      <c r="AJ137" s="46">
        <f t="shared" si="16"/>
        <v>113.45</v>
      </c>
      <c r="AK137" s="47">
        <v>99.899999999999991</v>
      </c>
      <c r="AL137" s="93">
        <f t="shared" ref="AL137:AL168" si="29">SUM(AK133:AK136)/4</f>
        <v>24.2</v>
      </c>
    </row>
    <row r="138" spans="2:38" ht="15.75" customHeight="1">
      <c r="B138" s="96"/>
      <c r="C138" s="28" t="s">
        <v>16</v>
      </c>
      <c r="D138" s="29">
        <v>115.8</v>
      </c>
      <c r="E138" s="46">
        <f t="shared" si="17"/>
        <v>113.45</v>
      </c>
      <c r="F138" s="30">
        <f t="shared" si="18"/>
        <v>2.3499999999999943</v>
      </c>
      <c r="G138" s="30">
        <f t="shared" si="19"/>
        <v>2.3499999999999943</v>
      </c>
      <c r="H138" s="31">
        <f t="shared" ref="H138:H169" si="30">F138^2</f>
        <v>5.5224999999999733</v>
      </c>
      <c r="I138" s="70">
        <f t="shared" si="21"/>
        <v>2.0293609671847967</v>
      </c>
      <c r="J138" s="71">
        <f t="shared" si="22"/>
        <v>2.0293609671847967</v>
      </c>
      <c r="L138" s="96"/>
      <c r="M138" s="28" t="s">
        <v>16</v>
      </c>
      <c r="N138" s="29">
        <v>115.8</v>
      </c>
      <c r="O138" s="37">
        <f t="shared" si="23"/>
        <v>99.899999999999991</v>
      </c>
      <c r="P138" s="31">
        <f t="shared" si="24"/>
        <v>15.900000000000006</v>
      </c>
      <c r="Q138" s="31">
        <f t="shared" si="25"/>
        <v>15.900000000000006</v>
      </c>
      <c r="R138" s="31">
        <f t="shared" si="26"/>
        <v>252.81000000000017</v>
      </c>
      <c r="S138" s="70">
        <f t="shared" si="27"/>
        <v>15.900000000000006</v>
      </c>
      <c r="T138" s="74">
        <f t="shared" si="28"/>
        <v>15.900000000000006</v>
      </c>
      <c r="V138" s="96"/>
      <c r="W138" s="28" t="s">
        <v>16</v>
      </c>
      <c r="X138" s="29">
        <v>115.8</v>
      </c>
      <c r="Y138" s="45">
        <f t="shared" ref="Y138:Y169" si="31">SUM(X134:X137)/4</f>
        <v>99.474999999999994</v>
      </c>
      <c r="Z138" s="33">
        <f t="shared" ref="Z138:Z169" si="32">X138-Y138</f>
        <v>16.325000000000003</v>
      </c>
      <c r="AA138" s="31">
        <f t="shared" ref="AA138:AA169" si="33">ABS(Z138)</f>
        <v>16.325000000000003</v>
      </c>
      <c r="AB138" s="31">
        <f t="shared" ref="AB138:AB169" si="34">SUM(Z138)^2</f>
        <v>266.50562500000007</v>
      </c>
      <c r="AC138" s="70">
        <f>SUM(Z138)</f>
        <v>16.325000000000003</v>
      </c>
      <c r="AD138" s="87">
        <f t="shared" ref="AD138:AD169" si="35">ABS(AC138)</f>
        <v>16.325000000000003</v>
      </c>
      <c r="AG138" s="96"/>
      <c r="AH138" s="28" t="s">
        <v>17</v>
      </c>
      <c r="AI138" s="62">
        <v>123.7</v>
      </c>
      <c r="AJ138" s="46">
        <f t="shared" si="16"/>
        <v>111.65</v>
      </c>
      <c r="AK138" s="47">
        <v>114.23333333333333</v>
      </c>
      <c r="AL138" s="93">
        <f t="shared" si="29"/>
        <v>49.174999999999997</v>
      </c>
    </row>
    <row r="139" spans="2:38" ht="15.75" customHeight="1">
      <c r="B139" s="96"/>
      <c r="C139" s="28" t="s">
        <v>17</v>
      </c>
      <c r="D139" s="29">
        <v>123.7</v>
      </c>
      <c r="E139" s="46">
        <f t="shared" si="17"/>
        <v>111.65</v>
      </c>
      <c r="F139" s="30">
        <f t="shared" si="18"/>
        <v>12.049999999999997</v>
      </c>
      <c r="G139" s="30">
        <f t="shared" si="19"/>
        <v>12.049999999999997</v>
      </c>
      <c r="H139" s="31">
        <f t="shared" si="30"/>
        <v>145.20249999999993</v>
      </c>
      <c r="I139" s="70">
        <f t="shared" si="21"/>
        <v>9.7413096200485025</v>
      </c>
      <c r="J139" s="71">
        <f t="shared" si="22"/>
        <v>9.7413096200485025</v>
      </c>
      <c r="L139" s="96"/>
      <c r="M139" s="28" t="s">
        <v>17</v>
      </c>
      <c r="N139" s="29">
        <v>123.7</v>
      </c>
      <c r="O139" s="37">
        <f t="shared" si="23"/>
        <v>114.23333333333333</v>
      </c>
      <c r="P139" s="31">
        <f t="shared" si="24"/>
        <v>9.4666666666666686</v>
      </c>
      <c r="Q139" s="31">
        <f t="shared" si="25"/>
        <v>9.4666666666666686</v>
      </c>
      <c r="R139" s="31">
        <f t="shared" si="26"/>
        <v>89.617777777777818</v>
      </c>
      <c r="S139" s="70">
        <f t="shared" ref="S139:S169" si="36">P139/N139*100</f>
        <v>7.6529237402317447</v>
      </c>
      <c r="T139" s="74">
        <f t="shared" si="28"/>
        <v>7.6529237402317447</v>
      </c>
      <c r="V139" s="96"/>
      <c r="W139" s="28" t="s">
        <v>17</v>
      </c>
      <c r="X139" s="29">
        <v>123.7</v>
      </c>
      <c r="Y139" s="45">
        <f t="shared" si="31"/>
        <v>103.875</v>
      </c>
      <c r="Z139" s="33">
        <f t="shared" si="32"/>
        <v>19.825000000000003</v>
      </c>
      <c r="AA139" s="31">
        <f t="shared" si="33"/>
        <v>19.825000000000003</v>
      </c>
      <c r="AB139" s="31">
        <f t="shared" si="34"/>
        <v>393.0306250000001</v>
      </c>
      <c r="AC139" s="70">
        <f t="shared" ref="AC139:AC169" si="37">Z139/X139*100</f>
        <v>16.026677445432501</v>
      </c>
      <c r="AD139" s="74">
        <f t="shared" si="35"/>
        <v>16.026677445432501</v>
      </c>
      <c r="AG139" s="96"/>
      <c r="AH139" s="28" t="s">
        <v>18</v>
      </c>
      <c r="AI139" s="72">
        <v>139.5</v>
      </c>
      <c r="AJ139" s="46">
        <f t="shared" si="16"/>
        <v>119.75</v>
      </c>
      <c r="AK139" s="47">
        <v>115.66666666666667</v>
      </c>
      <c r="AL139" s="93">
        <f t="shared" si="29"/>
        <v>77.733333333333334</v>
      </c>
    </row>
    <row r="140" spans="2:38" ht="15.75" customHeight="1">
      <c r="B140" s="96"/>
      <c r="C140" s="28" t="s">
        <v>18</v>
      </c>
      <c r="D140" s="37">
        <v>139.5</v>
      </c>
      <c r="E140" s="46">
        <f t="shared" si="17"/>
        <v>119.75</v>
      </c>
      <c r="F140" s="31">
        <f t="shared" si="18"/>
        <v>19.75</v>
      </c>
      <c r="G140" s="30">
        <f t="shared" si="19"/>
        <v>19.75</v>
      </c>
      <c r="H140" s="31">
        <f t="shared" si="30"/>
        <v>390.0625</v>
      </c>
      <c r="I140" s="70">
        <f t="shared" si="21"/>
        <v>14.157706093189965</v>
      </c>
      <c r="J140" s="71">
        <f t="shared" si="22"/>
        <v>14.157706093189965</v>
      </c>
      <c r="L140" s="96"/>
      <c r="M140" s="28" t="s">
        <v>18</v>
      </c>
      <c r="N140" s="37">
        <v>139.5</v>
      </c>
      <c r="O140" s="37">
        <f t="shared" si="23"/>
        <v>115.66666666666667</v>
      </c>
      <c r="P140" s="31">
        <f t="shared" si="24"/>
        <v>23.833333333333329</v>
      </c>
      <c r="Q140" s="31">
        <f t="shared" si="25"/>
        <v>23.833333333333329</v>
      </c>
      <c r="R140" s="31">
        <f t="shared" si="26"/>
        <v>568.0277777777776</v>
      </c>
      <c r="S140" s="70">
        <f t="shared" si="36"/>
        <v>17.084826762246113</v>
      </c>
      <c r="T140" s="74">
        <f t="shared" si="28"/>
        <v>17.084826762246113</v>
      </c>
      <c r="V140" s="96"/>
      <c r="W140" s="28" t="s">
        <v>18</v>
      </c>
      <c r="X140" s="37">
        <v>139.5</v>
      </c>
      <c r="Y140" s="45">
        <f t="shared" si="31"/>
        <v>116.6</v>
      </c>
      <c r="Z140" s="31">
        <f t="shared" si="32"/>
        <v>22.900000000000006</v>
      </c>
      <c r="AA140" s="31">
        <f t="shared" si="33"/>
        <v>22.900000000000006</v>
      </c>
      <c r="AB140" s="31">
        <f t="shared" si="34"/>
        <v>524.41000000000031</v>
      </c>
      <c r="AC140" s="70">
        <f t="shared" si="37"/>
        <v>16.415770609319001</v>
      </c>
      <c r="AD140" s="74">
        <f t="shared" si="35"/>
        <v>16.415770609319001</v>
      </c>
      <c r="AG140" s="96"/>
      <c r="AH140" s="28" t="s">
        <v>19</v>
      </c>
      <c r="AI140" s="62">
        <v>129.80000000000001</v>
      </c>
      <c r="AJ140" s="46">
        <f t="shared" si="16"/>
        <v>131.6</v>
      </c>
      <c r="AK140" s="47">
        <v>126.33333333333333</v>
      </c>
      <c r="AL140" s="93">
        <f t="shared" si="29"/>
        <v>106.65</v>
      </c>
    </row>
    <row r="141" spans="2:38" ht="15.75" customHeight="1">
      <c r="B141" s="96"/>
      <c r="C141" s="28" t="s">
        <v>19</v>
      </c>
      <c r="D141" s="29">
        <v>129.80000000000001</v>
      </c>
      <c r="E141" s="46">
        <f t="shared" si="17"/>
        <v>131.6</v>
      </c>
      <c r="F141" s="30">
        <f t="shared" si="18"/>
        <v>-1.7999999999999829</v>
      </c>
      <c r="G141" s="30">
        <f t="shared" si="19"/>
        <v>1.7999999999999829</v>
      </c>
      <c r="H141" s="31">
        <f t="shared" si="30"/>
        <v>3.2399999999999385</v>
      </c>
      <c r="I141" s="70">
        <f t="shared" si="21"/>
        <v>-1.3867488443759497</v>
      </c>
      <c r="J141" s="71">
        <f t="shared" si="22"/>
        <v>1.3867488443759497</v>
      </c>
      <c r="L141" s="96"/>
      <c r="M141" s="28" t="s">
        <v>19</v>
      </c>
      <c r="N141" s="29">
        <v>129.80000000000001</v>
      </c>
      <c r="O141" s="37">
        <f t="shared" si="23"/>
        <v>126.33333333333333</v>
      </c>
      <c r="P141" s="31">
        <f t="shared" si="24"/>
        <v>3.4666666666666828</v>
      </c>
      <c r="Q141" s="31">
        <f t="shared" si="25"/>
        <v>3.4666666666666828</v>
      </c>
      <c r="R141" s="31">
        <f t="shared" si="26"/>
        <v>12.017777777777889</v>
      </c>
      <c r="S141" s="70">
        <f t="shared" si="36"/>
        <v>2.6707755521314969</v>
      </c>
      <c r="T141" s="74">
        <f t="shared" si="28"/>
        <v>2.6707755521314969</v>
      </c>
      <c r="V141" s="96"/>
      <c r="W141" s="28" t="s">
        <v>19</v>
      </c>
      <c r="X141" s="29">
        <v>129.80000000000001</v>
      </c>
      <c r="Y141" s="45">
        <f t="shared" si="31"/>
        <v>121.625</v>
      </c>
      <c r="Z141" s="33">
        <f t="shared" si="32"/>
        <v>8.1750000000000114</v>
      </c>
      <c r="AA141" s="31">
        <f t="shared" si="33"/>
        <v>8.1750000000000114</v>
      </c>
      <c r="AB141" s="31">
        <f t="shared" si="34"/>
        <v>66.830625000000182</v>
      </c>
      <c r="AC141" s="70">
        <f t="shared" si="37"/>
        <v>6.2981510015408402</v>
      </c>
      <c r="AD141" s="74">
        <f t="shared" si="35"/>
        <v>6.2981510015408402</v>
      </c>
      <c r="AG141" s="96"/>
      <c r="AH141" s="28" t="s">
        <v>20</v>
      </c>
      <c r="AI141" s="62">
        <v>115.9</v>
      </c>
      <c r="AJ141" s="46">
        <f t="shared" si="16"/>
        <v>134.65</v>
      </c>
      <c r="AK141" s="47">
        <v>131</v>
      </c>
      <c r="AL141" s="93">
        <f t="shared" si="29"/>
        <v>114.03333333333333</v>
      </c>
    </row>
    <row r="142" spans="2:38" ht="15.75" customHeight="1">
      <c r="B142" s="96"/>
      <c r="C142" s="28" t="s">
        <v>20</v>
      </c>
      <c r="D142" s="29">
        <v>115.9</v>
      </c>
      <c r="E142" s="46">
        <f t="shared" si="17"/>
        <v>134.65</v>
      </c>
      <c r="F142" s="30">
        <f t="shared" si="18"/>
        <v>-18.75</v>
      </c>
      <c r="G142" s="30">
        <f t="shared" si="19"/>
        <v>18.75</v>
      </c>
      <c r="H142" s="31">
        <f t="shared" si="30"/>
        <v>351.5625</v>
      </c>
      <c r="I142" s="70">
        <f t="shared" si="21"/>
        <v>-16.177739430543571</v>
      </c>
      <c r="J142" s="71">
        <f t="shared" si="22"/>
        <v>16.177739430543571</v>
      </c>
      <c r="L142" s="96"/>
      <c r="M142" s="28" t="s">
        <v>20</v>
      </c>
      <c r="N142" s="29">
        <v>115.9</v>
      </c>
      <c r="O142" s="37">
        <f t="shared" si="23"/>
        <v>131</v>
      </c>
      <c r="P142" s="31">
        <f t="shared" si="24"/>
        <v>-15.099999999999994</v>
      </c>
      <c r="Q142" s="31">
        <f t="shared" si="25"/>
        <v>15.099999999999994</v>
      </c>
      <c r="R142" s="31">
        <f t="shared" si="26"/>
        <v>228.00999999999982</v>
      </c>
      <c r="S142" s="70">
        <f t="shared" si="36"/>
        <v>-13.028472821397752</v>
      </c>
      <c r="T142" s="74">
        <f t="shared" si="28"/>
        <v>13.028472821397752</v>
      </c>
      <c r="V142" s="96"/>
      <c r="W142" s="28" t="s">
        <v>20</v>
      </c>
      <c r="X142" s="29">
        <v>115.9</v>
      </c>
      <c r="Y142" s="45">
        <f t="shared" si="31"/>
        <v>127.2</v>
      </c>
      <c r="Z142" s="33">
        <f t="shared" si="32"/>
        <v>-11.299999999999997</v>
      </c>
      <c r="AA142" s="31">
        <f t="shared" si="33"/>
        <v>11.299999999999997</v>
      </c>
      <c r="AB142" s="31">
        <f t="shared" si="34"/>
        <v>127.68999999999994</v>
      </c>
      <c r="AC142" s="70">
        <f t="shared" si="37"/>
        <v>-9.7497842968075901</v>
      </c>
      <c r="AD142" s="74">
        <f t="shared" si="35"/>
        <v>9.7497842968075901</v>
      </c>
      <c r="AG142" s="96"/>
      <c r="AH142" s="28" t="s">
        <v>21</v>
      </c>
      <c r="AI142" s="62">
        <v>106.5</v>
      </c>
      <c r="AJ142" s="46">
        <f t="shared" si="16"/>
        <v>122.85000000000001</v>
      </c>
      <c r="AK142" s="47">
        <v>128.4</v>
      </c>
      <c r="AL142" s="93">
        <f t="shared" si="29"/>
        <v>121.80833333333334</v>
      </c>
    </row>
    <row r="143" spans="2:38" ht="15.75" customHeight="1">
      <c r="B143" s="96"/>
      <c r="C143" s="28" t="s">
        <v>21</v>
      </c>
      <c r="D143" s="29">
        <v>106.5</v>
      </c>
      <c r="E143" s="46">
        <f t="shared" si="17"/>
        <v>122.85000000000001</v>
      </c>
      <c r="F143" s="30">
        <f t="shared" si="18"/>
        <v>-16.350000000000009</v>
      </c>
      <c r="G143" s="30">
        <f t="shared" si="19"/>
        <v>16.350000000000009</v>
      </c>
      <c r="H143" s="31">
        <f t="shared" si="30"/>
        <v>267.32250000000028</v>
      </c>
      <c r="I143" s="70">
        <f t="shared" si="21"/>
        <v>-15.352112676056345</v>
      </c>
      <c r="J143" s="71">
        <f t="shared" si="22"/>
        <v>15.352112676056345</v>
      </c>
      <c r="L143" s="96"/>
      <c r="M143" s="28" t="s">
        <v>21</v>
      </c>
      <c r="N143" s="29">
        <v>106.5</v>
      </c>
      <c r="O143" s="37">
        <f t="shared" si="23"/>
        <v>128.4</v>
      </c>
      <c r="P143" s="31">
        <f t="shared" si="24"/>
        <v>-21.900000000000006</v>
      </c>
      <c r="Q143" s="31">
        <f t="shared" si="25"/>
        <v>21.900000000000006</v>
      </c>
      <c r="R143" s="31">
        <f t="shared" si="26"/>
        <v>479.61000000000024</v>
      </c>
      <c r="S143" s="70">
        <f t="shared" si="36"/>
        <v>-20.563380281690147</v>
      </c>
      <c r="T143" s="74">
        <f t="shared" si="28"/>
        <v>20.563380281690147</v>
      </c>
      <c r="V143" s="96"/>
      <c r="W143" s="28" t="s">
        <v>21</v>
      </c>
      <c r="X143" s="29">
        <v>106.5</v>
      </c>
      <c r="Y143" s="45">
        <f t="shared" si="31"/>
        <v>127.22499999999999</v>
      </c>
      <c r="Z143" s="33">
        <f t="shared" si="32"/>
        <v>-20.724999999999994</v>
      </c>
      <c r="AA143" s="31">
        <f t="shared" si="33"/>
        <v>20.724999999999994</v>
      </c>
      <c r="AB143" s="31">
        <f t="shared" si="34"/>
        <v>429.52562499999976</v>
      </c>
      <c r="AC143" s="70">
        <f t="shared" si="37"/>
        <v>-19.460093896713609</v>
      </c>
      <c r="AD143" s="74">
        <f t="shared" si="35"/>
        <v>19.460093896713609</v>
      </c>
      <c r="AG143" s="96"/>
      <c r="AH143" s="28" t="s">
        <v>22</v>
      </c>
      <c r="AI143" s="62">
        <v>76.7</v>
      </c>
      <c r="AJ143" s="46">
        <f t="shared" si="16"/>
        <v>111.2</v>
      </c>
      <c r="AK143" s="47">
        <v>117.40000000000002</v>
      </c>
      <c r="AL143" s="93">
        <f t="shared" si="29"/>
        <v>125.35</v>
      </c>
    </row>
    <row r="144" spans="2:38" ht="15.75" customHeight="1">
      <c r="B144" s="96"/>
      <c r="C144" s="28" t="s">
        <v>22</v>
      </c>
      <c r="D144" s="29">
        <v>76.7</v>
      </c>
      <c r="E144" s="46">
        <f t="shared" si="17"/>
        <v>111.2</v>
      </c>
      <c r="F144" s="30">
        <f t="shared" si="18"/>
        <v>-34.5</v>
      </c>
      <c r="G144" s="30">
        <f t="shared" si="19"/>
        <v>34.5</v>
      </c>
      <c r="H144" s="31">
        <f t="shared" si="30"/>
        <v>1190.25</v>
      </c>
      <c r="I144" s="70">
        <f t="shared" si="21"/>
        <v>-44.980443285528033</v>
      </c>
      <c r="J144" s="71">
        <f t="shared" si="22"/>
        <v>44.980443285528033</v>
      </c>
      <c r="L144" s="96"/>
      <c r="M144" s="28" t="s">
        <v>22</v>
      </c>
      <c r="N144" s="29">
        <v>76.7</v>
      </c>
      <c r="O144" s="37">
        <f t="shared" si="23"/>
        <v>117.40000000000002</v>
      </c>
      <c r="P144" s="31">
        <f t="shared" si="24"/>
        <v>-40.700000000000017</v>
      </c>
      <c r="Q144" s="31">
        <f t="shared" si="25"/>
        <v>40.700000000000017</v>
      </c>
      <c r="R144" s="31">
        <f t="shared" si="26"/>
        <v>1656.4900000000014</v>
      </c>
      <c r="S144" s="70">
        <f t="shared" si="36"/>
        <v>-53.063885267275111</v>
      </c>
      <c r="T144" s="74">
        <f t="shared" si="28"/>
        <v>53.063885267275111</v>
      </c>
      <c r="V144" s="96"/>
      <c r="W144" s="28" t="s">
        <v>22</v>
      </c>
      <c r="X144" s="29">
        <v>76.7</v>
      </c>
      <c r="Y144" s="45">
        <f t="shared" si="31"/>
        <v>122.92500000000001</v>
      </c>
      <c r="Z144" s="33">
        <f t="shared" si="32"/>
        <v>-46.225000000000009</v>
      </c>
      <c r="AA144" s="31">
        <f t="shared" si="33"/>
        <v>46.225000000000009</v>
      </c>
      <c r="AB144" s="31">
        <f t="shared" si="34"/>
        <v>2136.7506250000006</v>
      </c>
      <c r="AC144" s="70">
        <f t="shared" si="37"/>
        <v>-60.267275097783582</v>
      </c>
      <c r="AD144" s="74">
        <f t="shared" si="35"/>
        <v>60.267275097783582</v>
      </c>
      <c r="AG144" s="97"/>
      <c r="AH144" s="28" t="s">
        <v>23</v>
      </c>
      <c r="AI144" s="62">
        <v>149.30000000000001</v>
      </c>
      <c r="AJ144" s="46">
        <f t="shared" si="16"/>
        <v>91.6</v>
      </c>
      <c r="AK144" s="47">
        <v>99.7</v>
      </c>
      <c r="AL144" s="93">
        <f t="shared" si="29"/>
        <v>125.78333333333335</v>
      </c>
    </row>
    <row r="145" spans="2:38" ht="15.75" customHeight="1">
      <c r="B145" s="97"/>
      <c r="C145" s="28" t="s">
        <v>23</v>
      </c>
      <c r="D145" s="29">
        <v>149.30000000000001</v>
      </c>
      <c r="E145" s="46">
        <f t="shared" si="17"/>
        <v>91.6</v>
      </c>
      <c r="F145" s="30">
        <f t="shared" si="18"/>
        <v>57.700000000000017</v>
      </c>
      <c r="G145" s="30">
        <f t="shared" si="19"/>
        <v>57.700000000000017</v>
      </c>
      <c r="H145" s="31">
        <f t="shared" si="30"/>
        <v>3329.2900000000018</v>
      </c>
      <c r="I145" s="70">
        <f t="shared" si="21"/>
        <v>38.647019423978577</v>
      </c>
      <c r="J145" s="71">
        <f t="shared" si="22"/>
        <v>38.647019423978577</v>
      </c>
      <c r="L145" s="97"/>
      <c r="M145" s="28" t="s">
        <v>23</v>
      </c>
      <c r="N145" s="29">
        <v>149.30000000000001</v>
      </c>
      <c r="O145" s="37">
        <f t="shared" si="23"/>
        <v>99.7</v>
      </c>
      <c r="P145" s="31">
        <f t="shared" si="24"/>
        <v>49.600000000000009</v>
      </c>
      <c r="Q145" s="31">
        <f t="shared" si="25"/>
        <v>49.600000000000009</v>
      </c>
      <c r="R145" s="31">
        <f t="shared" si="26"/>
        <v>2460.1600000000008</v>
      </c>
      <c r="S145" s="70">
        <f t="shared" si="36"/>
        <v>33.2217012726055</v>
      </c>
      <c r="T145" s="74">
        <f t="shared" si="28"/>
        <v>33.2217012726055</v>
      </c>
      <c r="V145" s="97"/>
      <c r="W145" s="28" t="s">
        <v>23</v>
      </c>
      <c r="X145" s="29">
        <v>149.30000000000001</v>
      </c>
      <c r="Y145" s="45">
        <f t="shared" si="31"/>
        <v>107.22500000000001</v>
      </c>
      <c r="Z145" s="33">
        <f t="shared" si="32"/>
        <v>42.075000000000003</v>
      </c>
      <c r="AA145" s="31">
        <f t="shared" si="33"/>
        <v>42.075000000000003</v>
      </c>
      <c r="AB145" s="31">
        <f t="shared" si="34"/>
        <v>1770.3056250000002</v>
      </c>
      <c r="AC145" s="70">
        <f t="shared" si="37"/>
        <v>28.181513730743468</v>
      </c>
      <c r="AD145" s="74">
        <f t="shared" si="35"/>
        <v>28.181513730743468</v>
      </c>
      <c r="AG145" s="98">
        <v>2022</v>
      </c>
      <c r="AH145" s="38" t="s">
        <v>12</v>
      </c>
      <c r="AI145" s="75">
        <v>101.1</v>
      </c>
      <c r="AJ145" s="46">
        <f t="shared" si="16"/>
        <v>113</v>
      </c>
      <c r="AK145" s="47">
        <v>110.83333333333333</v>
      </c>
      <c r="AL145" s="93">
        <f t="shared" si="29"/>
        <v>119.125</v>
      </c>
    </row>
    <row r="146" spans="2:38" ht="15.75" customHeight="1">
      <c r="B146" s="98">
        <v>2022</v>
      </c>
      <c r="C146" s="38" t="s">
        <v>12</v>
      </c>
      <c r="D146" s="39">
        <v>101.1</v>
      </c>
      <c r="E146" s="46">
        <f t="shared" si="17"/>
        <v>113</v>
      </c>
      <c r="F146" s="30">
        <f t="shared" si="18"/>
        <v>-11.900000000000006</v>
      </c>
      <c r="G146" s="30">
        <f t="shared" si="19"/>
        <v>11.900000000000006</v>
      </c>
      <c r="H146" s="31">
        <f t="shared" si="30"/>
        <v>141.61000000000013</v>
      </c>
      <c r="I146" s="70">
        <f t="shared" si="21"/>
        <v>-11.770524233432251</v>
      </c>
      <c r="J146" s="71">
        <f t="shared" si="22"/>
        <v>11.770524233432251</v>
      </c>
      <c r="L146" s="98">
        <v>2022</v>
      </c>
      <c r="M146" s="38" t="s">
        <v>12</v>
      </c>
      <c r="N146" s="39">
        <v>101.1</v>
      </c>
      <c r="O146" s="37">
        <f t="shared" si="23"/>
        <v>110.83333333333333</v>
      </c>
      <c r="P146" s="31">
        <f t="shared" si="24"/>
        <v>-9.7333333333333343</v>
      </c>
      <c r="Q146" s="31">
        <f t="shared" si="25"/>
        <v>9.7333333333333343</v>
      </c>
      <c r="R146" s="31">
        <f t="shared" si="26"/>
        <v>94.737777777777794</v>
      </c>
      <c r="S146" s="70">
        <f t="shared" si="36"/>
        <v>-9.6274315858885604</v>
      </c>
      <c r="T146" s="74">
        <f t="shared" si="28"/>
        <v>9.6274315858885604</v>
      </c>
      <c r="V146" s="98">
        <v>2022</v>
      </c>
      <c r="W146" s="38" t="s">
        <v>12</v>
      </c>
      <c r="X146" s="39">
        <v>101.1</v>
      </c>
      <c r="Y146" s="45">
        <f t="shared" si="31"/>
        <v>112.10000000000001</v>
      </c>
      <c r="Z146" s="33">
        <f t="shared" si="32"/>
        <v>-11.000000000000014</v>
      </c>
      <c r="AA146" s="31">
        <f t="shared" si="33"/>
        <v>11.000000000000014</v>
      </c>
      <c r="AB146" s="31">
        <f t="shared" si="34"/>
        <v>121.00000000000031</v>
      </c>
      <c r="AC146" s="70">
        <f t="shared" si="37"/>
        <v>-10.880316518298729</v>
      </c>
      <c r="AD146" s="74">
        <f t="shared" si="35"/>
        <v>10.880316518298729</v>
      </c>
      <c r="AG146" s="96"/>
      <c r="AH146" s="38" t="s">
        <v>13</v>
      </c>
      <c r="AI146" s="75">
        <v>77.599999999999994</v>
      </c>
      <c r="AJ146" s="46">
        <f t="shared" si="16"/>
        <v>125.2</v>
      </c>
      <c r="AK146" s="47">
        <v>109.03333333333335</v>
      </c>
      <c r="AL146" s="93">
        <f t="shared" si="29"/>
        <v>114.08333333333333</v>
      </c>
    </row>
    <row r="147" spans="2:38" ht="15.75" customHeight="1">
      <c r="B147" s="96"/>
      <c r="C147" s="38" t="s">
        <v>13</v>
      </c>
      <c r="D147" s="39">
        <v>77.599999999999994</v>
      </c>
      <c r="E147" s="46">
        <f t="shared" si="17"/>
        <v>125.2</v>
      </c>
      <c r="F147" s="30">
        <f t="shared" si="18"/>
        <v>-47.600000000000009</v>
      </c>
      <c r="G147" s="30">
        <f t="shared" si="19"/>
        <v>47.600000000000009</v>
      </c>
      <c r="H147" s="31">
        <f t="shared" si="30"/>
        <v>2265.7600000000007</v>
      </c>
      <c r="I147" s="70">
        <f t="shared" si="21"/>
        <v>-61.340206185567027</v>
      </c>
      <c r="J147" s="71">
        <f t="shared" si="22"/>
        <v>61.340206185567027</v>
      </c>
      <c r="L147" s="96"/>
      <c r="M147" s="38" t="s">
        <v>13</v>
      </c>
      <c r="N147" s="39">
        <v>77.599999999999994</v>
      </c>
      <c r="O147" s="37">
        <f t="shared" si="23"/>
        <v>109.03333333333335</v>
      </c>
      <c r="P147" s="31">
        <f t="shared" si="24"/>
        <v>-31.433333333333351</v>
      </c>
      <c r="Q147" s="31">
        <f t="shared" si="25"/>
        <v>31.433333333333351</v>
      </c>
      <c r="R147" s="31">
        <f t="shared" si="26"/>
        <v>988.05444444444561</v>
      </c>
      <c r="S147" s="70">
        <f t="shared" si="36"/>
        <v>-40.506872852233705</v>
      </c>
      <c r="T147" s="74">
        <f t="shared" si="28"/>
        <v>40.506872852233705</v>
      </c>
      <c r="V147" s="96"/>
      <c r="W147" s="38" t="s">
        <v>13</v>
      </c>
      <c r="X147" s="39">
        <v>77.599999999999994</v>
      </c>
      <c r="Y147" s="45">
        <f t="shared" si="31"/>
        <v>108.4</v>
      </c>
      <c r="Z147" s="33">
        <f t="shared" si="32"/>
        <v>-30.800000000000011</v>
      </c>
      <c r="AA147" s="31">
        <f t="shared" si="33"/>
        <v>30.800000000000011</v>
      </c>
      <c r="AB147" s="31">
        <f t="shared" si="34"/>
        <v>948.64000000000067</v>
      </c>
      <c r="AC147" s="70">
        <f t="shared" si="37"/>
        <v>-39.690721649484558</v>
      </c>
      <c r="AD147" s="74">
        <f t="shared" si="35"/>
        <v>39.690721649484558</v>
      </c>
      <c r="AG147" s="96"/>
      <c r="AH147" s="38" t="s">
        <v>14</v>
      </c>
      <c r="AI147" s="75">
        <v>121.8</v>
      </c>
      <c r="AJ147" s="46">
        <f t="shared" si="16"/>
        <v>89.35</v>
      </c>
      <c r="AK147" s="47">
        <v>109.33333333333333</v>
      </c>
      <c r="AL147" s="93">
        <f t="shared" si="29"/>
        <v>109.24166666666667</v>
      </c>
    </row>
    <row r="148" spans="2:38" ht="15.75" customHeight="1">
      <c r="B148" s="96"/>
      <c r="C148" s="38" t="s">
        <v>14</v>
      </c>
      <c r="D148" s="39">
        <v>121.8</v>
      </c>
      <c r="E148" s="46">
        <f t="shared" si="17"/>
        <v>89.35</v>
      </c>
      <c r="F148" s="30">
        <f t="shared" si="18"/>
        <v>32.450000000000003</v>
      </c>
      <c r="G148" s="30">
        <f t="shared" si="19"/>
        <v>32.450000000000003</v>
      </c>
      <c r="H148" s="31">
        <f t="shared" si="30"/>
        <v>1053.0025000000003</v>
      </c>
      <c r="I148" s="70">
        <f t="shared" si="21"/>
        <v>26.64203612479475</v>
      </c>
      <c r="J148" s="71">
        <f t="shared" si="22"/>
        <v>26.64203612479475</v>
      </c>
      <c r="L148" s="96"/>
      <c r="M148" s="38" t="s">
        <v>14</v>
      </c>
      <c r="N148" s="39">
        <v>121.8</v>
      </c>
      <c r="O148" s="37">
        <f t="shared" si="23"/>
        <v>109.33333333333333</v>
      </c>
      <c r="P148" s="31">
        <f t="shared" si="24"/>
        <v>12.466666666666669</v>
      </c>
      <c r="Q148" s="31">
        <f t="shared" si="25"/>
        <v>12.466666666666669</v>
      </c>
      <c r="R148" s="31">
        <f t="shared" si="26"/>
        <v>155.41777777777781</v>
      </c>
      <c r="S148" s="70">
        <f t="shared" si="36"/>
        <v>10.235358511220582</v>
      </c>
      <c r="T148" s="74">
        <f t="shared" si="28"/>
        <v>10.235358511220582</v>
      </c>
      <c r="V148" s="96"/>
      <c r="W148" s="38" t="s">
        <v>14</v>
      </c>
      <c r="X148" s="39">
        <v>121.8</v>
      </c>
      <c r="Y148" s="45">
        <f t="shared" si="31"/>
        <v>101.17500000000001</v>
      </c>
      <c r="Z148" s="33">
        <f t="shared" si="32"/>
        <v>20.624999999999986</v>
      </c>
      <c r="AA148" s="31">
        <f t="shared" si="33"/>
        <v>20.624999999999986</v>
      </c>
      <c r="AB148" s="31">
        <f t="shared" si="34"/>
        <v>425.39062499999943</v>
      </c>
      <c r="AC148" s="70">
        <f t="shared" si="37"/>
        <v>16.933497536945801</v>
      </c>
      <c r="AD148" s="74">
        <f t="shared" si="35"/>
        <v>16.933497536945801</v>
      </c>
      <c r="AG148" s="96"/>
      <c r="AH148" s="38" t="s">
        <v>15</v>
      </c>
      <c r="AI148" s="76">
        <v>109.2</v>
      </c>
      <c r="AJ148" s="46">
        <f t="shared" si="16"/>
        <v>99.699999999999989</v>
      </c>
      <c r="AK148" s="47">
        <v>100.16666666666667</v>
      </c>
      <c r="AL148" s="93">
        <f t="shared" si="29"/>
        <v>107.22499999999999</v>
      </c>
    </row>
    <row r="149" spans="2:38" ht="15.75" customHeight="1">
      <c r="B149" s="96"/>
      <c r="C149" s="38" t="s">
        <v>15</v>
      </c>
      <c r="D149" s="41">
        <v>109.2</v>
      </c>
      <c r="E149" s="46">
        <f t="shared" si="17"/>
        <v>99.699999999999989</v>
      </c>
      <c r="F149" s="31">
        <f t="shared" si="18"/>
        <v>9.5000000000000142</v>
      </c>
      <c r="G149" s="30">
        <f t="shared" si="19"/>
        <v>9.5000000000000142</v>
      </c>
      <c r="H149" s="31">
        <f t="shared" si="30"/>
        <v>90.25000000000027</v>
      </c>
      <c r="I149" s="70">
        <f t="shared" si="21"/>
        <v>8.6996336996337114</v>
      </c>
      <c r="J149" s="71">
        <f t="shared" si="22"/>
        <v>8.6996336996337114</v>
      </c>
      <c r="L149" s="96"/>
      <c r="M149" s="38" t="s">
        <v>15</v>
      </c>
      <c r="N149" s="41">
        <v>109.2</v>
      </c>
      <c r="O149" s="37">
        <f t="shared" si="23"/>
        <v>100.16666666666667</v>
      </c>
      <c r="P149" s="31">
        <f t="shared" si="24"/>
        <v>9.0333333333333314</v>
      </c>
      <c r="Q149" s="31">
        <f t="shared" si="25"/>
        <v>9.0333333333333314</v>
      </c>
      <c r="R149" s="31">
        <f t="shared" si="26"/>
        <v>81.601111111111081</v>
      </c>
      <c r="S149" s="70">
        <f t="shared" si="36"/>
        <v>8.2722832722832713</v>
      </c>
      <c r="T149" s="74">
        <f t="shared" si="28"/>
        <v>8.2722832722832713</v>
      </c>
      <c r="V149" s="96"/>
      <c r="W149" s="38" t="s">
        <v>15</v>
      </c>
      <c r="X149" s="41">
        <v>109.2</v>
      </c>
      <c r="Y149" s="45">
        <f t="shared" si="31"/>
        <v>112.45</v>
      </c>
      <c r="Z149" s="31">
        <f t="shared" si="32"/>
        <v>-3.25</v>
      </c>
      <c r="AA149" s="31">
        <f t="shared" si="33"/>
        <v>3.25</v>
      </c>
      <c r="AB149" s="31">
        <f t="shared" si="34"/>
        <v>10.5625</v>
      </c>
      <c r="AC149" s="70">
        <f t="shared" si="37"/>
        <v>-2.9761904761904758</v>
      </c>
      <c r="AD149" s="74">
        <f t="shared" si="35"/>
        <v>2.9761904761904758</v>
      </c>
      <c r="AG149" s="96"/>
      <c r="AH149" s="38" t="s">
        <v>16</v>
      </c>
      <c r="AI149" s="75">
        <v>118.7</v>
      </c>
      <c r="AJ149" s="46">
        <f t="shared" si="16"/>
        <v>115.5</v>
      </c>
      <c r="AK149" s="47">
        <v>102.86666666666666</v>
      </c>
      <c r="AL149" s="93">
        <f t="shared" si="29"/>
        <v>107.34166666666667</v>
      </c>
    </row>
    <row r="150" spans="2:38" ht="15.75" customHeight="1">
      <c r="B150" s="96"/>
      <c r="C150" s="38" t="s">
        <v>16</v>
      </c>
      <c r="D150" s="39">
        <v>118.7</v>
      </c>
      <c r="E150" s="46">
        <f t="shared" si="17"/>
        <v>115.5</v>
      </c>
      <c r="F150" s="30">
        <f t="shared" si="18"/>
        <v>3.2000000000000028</v>
      </c>
      <c r="G150" s="30">
        <f t="shared" si="19"/>
        <v>3.2000000000000028</v>
      </c>
      <c r="H150" s="31">
        <f t="shared" si="30"/>
        <v>10.240000000000018</v>
      </c>
      <c r="I150" s="70">
        <f t="shared" si="21"/>
        <v>2.6958719460825633</v>
      </c>
      <c r="J150" s="71">
        <f t="shared" si="22"/>
        <v>2.6958719460825633</v>
      </c>
      <c r="L150" s="96"/>
      <c r="M150" s="38" t="s">
        <v>16</v>
      </c>
      <c r="N150" s="39">
        <v>118.7</v>
      </c>
      <c r="O150" s="37">
        <f t="shared" si="23"/>
        <v>102.86666666666666</v>
      </c>
      <c r="P150" s="31">
        <f t="shared" si="24"/>
        <v>15.833333333333343</v>
      </c>
      <c r="Q150" s="31">
        <f t="shared" si="25"/>
        <v>15.833333333333343</v>
      </c>
      <c r="R150" s="31">
        <f t="shared" si="26"/>
        <v>250.69444444444474</v>
      </c>
      <c r="S150" s="70">
        <f t="shared" si="36"/>
        <v>13.338949733221012</v>
      </c>
      <c r="T150" s="74">
        <f t="shared" si="28"/>
        <v>13.338949733221012</v>
      </c>
      <c r="V150" s="96"/>
      <c r="W150" s="38" t="s">
        <v>16</v>
      </c>
      <c r="X150" s="39">
        <v>118.7</v>
      </c>
      <c r="Y150" s="45">
        <f t="shared" si="31"/>
        <v>102.425</v>
      </c>
      <c r="Z150" s="33">
        <f t="shared" si="32"/>
        <v>16.275000000000006</v>
      </c>
      <c r="AA150" s="31">
        <f t="shared" si="33"/>
        <v>16.275000000000006</v>
      </c>
      <c r="AB150" s="31">
        <f t="shared" si="34"/>
        <v>264.87562500000018</v>
      </c>
      <c r="AC150" s="70">
        <f t="shared" si="37"/>
        <v>13.71103622577928</v>
      </c>
      <c r="AD150" s="74">
        <f t="shared" si="35"/>
        <v>13.71103622577928</v>
      </c>
      <c r="AG150" s="96"/>
      <c r="AH150" s="38" t="s">
        <v>17</v>
      </c>
      <c r="AI150" s="75">
        <v>127.1</v>
      </c>
      <c r="AJ150" s="46">
        <f t="shared" si="16"/>
        <v>113.95</v>
      </c>
      <c r="AK150" s="47">
        <v>116.56666666666666</v>
      </c>
      <c r="AL150" s="93">
        <f t="shared" si="29"/>
        <v>105.35000000000001</v>
      </c>
    </row>
    <row r="151" spans="2:38" ht="15.75" customHeight="1">
      <c r="B151" s="96"/>
      <c r="C151" s="38" t="s">
        <v>17</v>
      </c>
      <c r="D151" s="39">
        <v>127.1</v>
      </c>
      <c r="E151" s="46">
        <f t="shared" si="17"/>
        <v>113.95</v>
      </c>
      <c r="F151" s="30">
        <f t="shared" si="18"/>
        <v>13.149999999999991</v>
      </c>
      <c r="G151" s="30">
        <f t="shared" si="19"/>
        <v>13.149999999999991</v>
      </c>
      <c r="H151" s="31">
        <f t="shared" si="30"/>
        <v>172.92249999999979</v>
      </c>
      <c r="I151" s="70">
        <f t="shared" si="21"/>
        <v>10.346184107002355</v>
      </c>
      <c r="J151" s="71">
        <f t="shared" si="22"/>
        <v>10.346184107002355</v>
      </c>
      <c r="L151" s="96"/>
      <c r="M151" s="38" t="s">
        <v>17</v>
      </c>
      <c r="N151" s="39">
        <v>127.1</v>
      </c>
      <c r="O151" s="37">
        <f t="shared" si="23"/>
        <v>116.56666666666666</v>
      </c>
      <c r="P151" s="31">
        <f t="shared" si="24"/>
        <v>10.533333333333331</v>
      </c>
      <c r="Q151" s="31">
        <f t="shared" si="25"/>
        <v>10.533333333333331</v>
      </c>
      <c r="R151" s="31">
        <f t="shared" si="26"/>
        <v>110.95111111111108</v>
      </c>
      <c r="S151" s="70">
        <f t="shared" si="36"/>
        <v>8.2874377130868062</v>
      </c>
      <c r="T151" s="74">
        <f t="shared" si="28"/>
        <v>8.2874377130868062</v>
      </c>
      <c r="V151" s="96"/>
      <c r="W151" s="38" t="s">
        <v>17</v>
      </c>
      <c r="X151" s="39">
        <v>127.1</v>
      </c>
      <c r="Y151" s="45">
        <f t="shared" si="31"/>
        <v>106.82499999999999</v>
      </c>
      <c r="Z151" s="33">
        <f t="shared" si="32"/>
        <v>20.275000000000006</v>
      </c>
      <c r="AA151" s="31">
        <f t="shared" si="33"/>
        <v>20.275000000000006</v>
      </c>
      <c r="AB151" s="31">
        <f t="shared" si="34"/>
        <v>411.07562500000023</v>
      </c>
      <c r="AC151" s="70">
        <f t="shared" si="37"/>
        <v>15.952006294256496</v>
      </c>
      <c r="AD151" s="74">
        <f t="shared" si="35"/>
        <v>15.952006294256496</v>
      </c>
      <c r="AG151" s="96"/>
      <c r="AH151" s="38" t="s">
        <v>18</v>
      </c>
      <c r="AI151" s="76">
        <v>135.4</v>
      </c>
      <c r="AJ151" s="46">
        <f t="shared" si="16"/>
        <v>122.9</v>
      </c>
      <c r="AK151" s="47">
        <v>118.33333333333333</v>
      </c>
      <c r="AL151" s="93">
        <f t="shared" si="29"/>
        <v>107.23333333333333</v>
      </c>
    </row>
    <row r="152" spans="2:38" ht="15.75" customHeight="1">
      <c r="B152" s="96"/>
      <c r="C152" s="38" t="s">
        <v>18</v>
      </c>
      <c r="D152" s="41">
        <v>135.4</v>
      </c>
      <c r="E152" s="46">
        <f t="shared" si="17"/>
        <v>122.9</v>
      </c>
      <c r="F152" s="31">
        <f t="shared" si="18"/>
        <v>12.5</v>
      </c>
      <c r="G152" s="30">
        <f t="shared" si="19"/>
        <v>12.5</v>
      </c>
      <c r="H152" s="31">
        <f t="shared" si="30"/>
        <v>156.25</v>
      </c>
      <c r="I152" s="70">
        <f t="shared" si="21"/>
        <v>9.231905465288035</v>
      </c>
      <c r="J152" s="71">
        <f t="shared" si="22"/>
        <v>9.231905465288035</v>
      </c>
      <c r="L152" s="96"/>
      <c r="M152" s="38" t="s">
        <v>18</v>
      </c>
      <c r="N152" s="41">
        <v>135.4</v>
      </c>
      <c r="O152" s="37">
        <f t="shared" si="23"/>
        <v>118.33333333333333</v>
      </c>
      <c r="P152" s="31">
        <f t="shared" si="24"/>
        <v>17.066666666666677</v>
      </c>
      <c r="Q152" s="31">
        <f t="shared" si="25"/>
        <v>17.066666666666677</v>
      </c>
      <c r="R152" s="31">
        <f t="shared" si="26"/>
        <v>291.27111111111145</v>
      </c>
      <c r="S152" s="70">
        <f t="shared" si="36"/>
        <v>12.604628261939938</v>
      </c>
      <c r="T152" s="74">
        <f t="shared" si="28"/>
        <v>12.604628261939938</v>
      </c>
      <c r="V152" s="96"/>
      <c r="W152" s="38" t="s">
        <v>18</v>
      </c>
      <c r="X152" s="41">
        <v>135.4</v>
      </c>
      <c r="Y152" s="45">
        <f t="shared" si="31"/>
        <v>119.19999999999999</v>
      </c>
      <c r="Z152" s="31">
        <f t="shared" si="32"/>
        <v>16.200000000000017</v>
      </c>
      <c r="AA152" s="31">
        <f t="shared" si="33"/>
        <v>16.200000000000017</v>
      </c>
      <c r="AB152" s="31">
        <f t="shared" si="34"/>
        <v>262.44000000000057</v>
      </c>
      <c r="AC152" s="70">
        <f t="shared" si="37"/>
        <v>11.964549483013306</v>
      </c>
      <c r="AD152" s="74">
        <f t="shared" si="35"/>
        <v>11.964549483013306</v>
      </c>
      <c r="AG152" s="96"/>
      <c r="AH152" s="38" t="s">
        <v>19</v>
      </c>
      <c r="AI152" s="77">
        <v>130.69999999999999</v>
      </c>
      <c r="AJ152" s="46">
        <f t="shared" si="16"/>
        <v>131.25</v>
      </c>
      <c r="AK152" s="47">
        <v>127.06666666666668</v>
      </c>
      <c r="AL152" s="93">
        <f t="shared" si="29"/>
        <v>109.48333333333333</v>
      </c>
    </row>
    <row r="153" spans="2:38" ht="15.75" customHeight="1">
      <c r="B153" s="96"/>
      <c r="C153" s="38" t="s">
        <v>19</v>
      </c>
      <c r="D153" s="42">
        <v>130.69999999999999</v>
      </c>
      <c r="E153" s="46">
        <f t="shared" si="17"/>
        <v>131.25</v>
      </c>
      <c r="F153" s="30">
        <f t="shared" si="18"/>
        <v>-0.55000000000001137</v>
      </c>
      <c r="G153" s="30">
        <f t="shared" si="19"/>
        <v>0.55000000000001137</v>
      </c>
      <c r="H153" s="31">
        <f t="shared" si="30"/>
        <v>0.30250000000001248</v>
      </c>
      <c r="I153" s="70">
        <f t="shared" si="21"/>
        <v>-0.4208110175975604</v>
      </c>
      <c r="J153" s="71">
        <f t="shared" si="22"/>
        <v>0.4208110175975604</v>
      </c>
      <c r="L153" s="96"/>
      <c r="M153" s="38" t="s">
        <v>19</v>
      </c>
      <c r="N153" s="42">
        <v>130.69999999999999</v>
      </c>
      <c r="O153" s="37">
        <f t="shared" si="23"/>
        <v>127.06666666666668</v>
      </c>
      <c r="P153" s="31">
        <f t="shared" si="24"/>
        <v>3.6333333333333115</v>
      </c>
      <c r="Q153" s="31">
        <f t="shared" si="25"/>
        <v>3.6333333333333115</v>
      </c>
      <c r="R153" s="31">
        <f t="shared" si="26"/>
        <v>13.201111111110952</v>
      </c>
      <c r="S153" s="70">
        <f t="shared" si="36"/>
        <v>2.7799030859474461</v>
      </c>
      <c r="T153" s="74">
        <f t="shared" si="28"/>
        <v>2.7799030859474461</v>
      </c>
      <c r="V153" s="96"/>
      <c r="W153" s="38" t="s">
        <v>19</v>
      </c>
      <c r="X153" s="42">
        <v>130.69999999999999</v>
      </c>
      <c r="Y153" s="45">
        <f t="shared" si="31"/>
        <v>122.6</v>
      </c>
      <c r="Z153" s="33">
        <f t="shared" si="32"/>
        <v>8.0999999999999943</v>
      </c>
      <c r="AA153" s="31">
        <f t="shared" si="33"/>
        <v>8.0999999999999943</v>
      </c>
      <c r="AB153" s="31">
        <f t="shared" si="34"/>
        <v>65.609999999999914</v>
      </c>
      <c r="AC153" s="70">
        <f t="shared" si="37"/>
        <v>6.1973986228003017</v>
      </c>
      <c r="AD153" s="74">
        <f t="shared" si="35"/>
        <v>6.1973986228003017</v>
      </c>
      <c r="AG153" s="96"/>
      <c r="AH153" s="38" t="s">
        <v>20</v>
      </c>
      <c r="AI153" s="75">
        <v>118.2</v>
      </c>
      <c r="AJ153" s="46">
        <f t="shared" si="16"/>
        <v>133.05000000000001</v>
      </c>
      <c r="AK153" s="47">
        <v>131.06666666666666</v>
      </c>
      <c r="AL153" s="93">
        <f t="shared" si="29"/>
        <v>116.20833333333333</v>
      </c>
    </row>
    <row r="154" spans="2:38" ht="15.75" customHeight="1">
      <c r="B154" s="96"/>
      <c r="C154" s="38" t="s">
        <v>20</v>
      </c>
      <c r="D154" s="39">
        <v>118.2</v>
      </c>
      <c r="E154" s="46">
        <f t="shared" si="17"/>
        <v>133.05000000000001</v>
      </c>
      <c r="F154" s="30">
        <f t="shared" si="18"/>
        <v>-14.850000000000009</v>
      </c>
      <c r="G154" s="30">
        <f t="shared" si="19"/>
        <v>14.850000000000009</v>
      </c>
      <c r="H154" s="31">
        <f t="shared" si="30"/>
        <v>220.52250000000026</v>
      </c>
      <c r="I154" s="70">
        <f t="shared" si="21"/>
        <v>-12.563451776649753</v>
      </c>
      <c r="J154" s="71">
        <f t="shared" si="22"/>
        <v>12.563451776649753</v>
      </c>
      <c r="L154" s="96"/>
      <c r="M154" s="38" t="s">
        <v>20</v>
      </c>
      <c r="N154" s="39">
        <v>118.2</v>
      </c>
      <c r="O154" s="37">
        <f t="shared" si="23"/>
        <v>131.06666666666666</v>
      </c>
      <c r="P154" s="31">
        <f t="shared" si="24"/>
        <v>-12.86666666666666</v>
      </c>
      <c r="Q154" s="31">
        <f t="shared" si="25"/>
        <v>12.86666666666666</v>
      </c>
      <c r="R154" s="31">
        <f t="shared" si="26"/>
        <v>165.55111111111094</v>
      </c>
      <c r="S154" s="70">
        <f t="shared" si="36"/>
        <v>-10.88550479413423</v>
      </c>
      <c r="T154" s="74">
        <f t="shared" si="28"/>
        <v>10.88550479413423</v>
      </c>
      <c r="V154" s="96"/>
      <c r="W154" s="38" t="s">
        <v>20</v>
      </c>
      <c r="X154" s="39">
        <v>118.2</v>
      </c>
      <c r="Y154" s="45">
        <f t="shared" si="31"/>
        <v>127.97500000000001</v>
      </c>
      <c r="Z154" s="33">
        <f t="shared" si="32"/>
        <v>-9.7750000000000057</v>
      </c>
      <c r="AA154" s="31">
        <f t="shared" si="33"/>
        <v>9.7750000000000057</v>
      </c>
      <c r="AB154" s="31">
        <f t="shared" si="34"/>
        <v>95.55062500000011</v>
      </c>
      <c r="AC154" s="70">
        <f t="shared" si="37"/>
        <v>-8.2698815566835915</v>
      </c>
      <c r="AD154" s="74">
        <f t="shared" si="35"/>
        <v>8.2698815566835915</v>
      </c>
      <c r="AG154" s="96"/>
      <c r="AH154" s="38" t="s">
        <v>21</v>
      </c>
      <c r="AI154" s="75">
        <v>110.4</v>
      </c>
      <c r="AJ154" s="46">
        <f t="shared" si="16"/>
        <v>124.44999999999999</v>
      </c>
      <c r="AK154" s="47">
        <v>128.1</v>
      </c>
      <c r="AL154" s="93">
        <f t="shared" si="29"/>
        <v>123.25833333333333</v>
      </c>
    </row>
    <row r="155" spans="2:38" ht="15.75" customHeight="1">
      <c r="B155" s="96"/>
      <c r="C155" s="38" t="s">
        <v>21</v>
      </c>
      <c r="D155" s="39">
        <v>110.4</v>
      </c>
      <c r="E155" s="46">
        <f t="shared" si="17"/>
        <v>124.44999999999999</v>
      </c>
      <c r="F155" s="30">
        <f t="shared" si="18"/>
        <v>-14.049999999999983</v>
      </c>
      <c r="G155" s="30">
        <f t="shared" si="19"/>
        <v>14.049999999999983</v>
      </c>
      <c r="H155" s="31">
        <f t="shared" si="30"/>
        <v>197.40249999999952</v>
      </c>
      <c r="I155" s="70">
        <f t="shared" si="21"/>
        <v>-12.726449275362302</v>
      </c>
      <c r="J155" s="71">
        <f t="shared" si="22"/>
        <v>12.726449275362302</v>
      </c>
      <c r="L155" s="96"/>
      <c r="M155" s="38" t="s">
        <v>21</v>
      </c>
      <c r="N155" s="39">
        <v>110.4</v>
      </c>
      <c r="O155" s="37">
        <f t="shared" si="23"/>
        <v>128.1</v>
      </c>
      <c r="P155" s="31">
        <f t="shared" si="24"/>
        <v>-17.699999999999989</v>
      </c>
      <c r="Q155" s="31">
        <f t="shared" si="25"/>
        <v>17.699999999999989</v>
      </c>
      <c r="R155" s="31">
        <f t="shared" si="26"/>
        <v>313.28999999999962</v>
      </c>
      <c r="S155" s="70">
        <f t="shared" si="36"/>
        <v>-16.032608695652161</v>
      </c>
      <c r="T155" s="74">
        <f t="shared" si="28"/>
        <v>16.032608695652161</v>
      </c>
      <c r="V155" s="96"/>
      <c r="W155" s="38" t="s">
        <v>21</v>
      </c>
      <c r="X155" s="39">
        <v>110.4</v>
      </c>
      <c r="Y155" s="45">
        <f t="shared" si="31"/>
        <v>127.85</v>
      </c>
      <c r="Z155" s="33">
        <f t="shared" si="32"/>
        <v>-17.449999999999989</v>
      </c>
      <c r="AA155" s="31">
        <f t="shared" si="33"/>
        <v>17.449999999999989</v>
      </c>
      <c r="AB155" s="31">
        <f t="shared" si="34"/>
        <v>304.5024999999996</v>
      </c>
      <c r="AC155" s="70">
        <f t="shared" si="37"/>
        <v>-15.806159420289845</v>
      </c>
      <c r="AD155" s="74">
        <f t="shared" si="35"/>
        <v>15.806159420289845</v>
      </c>
      <c r="AG155" s="96"/>
      <c r="AH155" s="38" t="s">
        <v>22</v>
      </c>
      <c r="AI155" s="75">
        <v>77.400000000000006</v>
      </c>
      <c r="AJ155" s="46">
        <f t="shared" si="16"/>
        <v>114.30000000000001</v>
      </c>
      <c r="AK155" s="47">
        <v>119.76666666666665</v>
      </c>
      <c r="AL155" s="93">
        <f t="shared" si="29"/>
        <v>126.14166666666668</v>
      </c>
    </row>
    <row r="156" spans="2:38" ht="15.75" customHeight="1">
      <c r="B156" s="96"/>
      <c r="C156" s="38" t="s">
        <v>22</v>
      </c>
      <c r="D156" s="39">
        <v>77.400000000000006</v>
      </c>
      <c r="E156" s="46">
        <f t="shared" si="17"/>
        <v>114.30000000000001</v>
      </c>
      <c r="F156" s="30">
        <f t="shared" si="18"/>
        <v>-36.900000000000006</v>
      </c>
      <c r="G156" s="30">
        <f t="shared" si="19"/>
        <v>36.900000000000006</v>
      </c>
      <c r="H156" s="31">
        <f t="shared" si="30"/>
        <v>1361.6100000000004</v>
      </c>
      <c r="I156" s="70">
        <f t="shared" si="21"/>
        <v>-47.674418604651166</v>
      </c>
      <c r="J156" s="71">
        <f t="shared" si="22"/>
        <v>47.674418604651166</v>
      </c>
      <c r="L156" s="96"/>
      <c r="M156" s="38" t="s">
        <v>22</v>
      </c>
      <c r="N156" s="39">
        <v>77.400000000000006</v>
      </c>
      <c r="O156" s="37">
        <f t="shared" si="23"/>
        <v>119.76666666666665</v>
      </c>
      <c r="P156" s="31">
        <f t="shared" si="24"/>
        <v>-42.366666666666646</v>
      </c>
      <c r="Q156" s="31">
        <f t="shared" si="25"/>
        <v>42.366666666666646</v>
      </c>
      <c r="R156" s="31">
        <f t="shared" si="26"/>
        <v>1794.9344444444428</v>
      </c>
      <c r="S156" s="70">
        <f t="shared" si="36"/>
        <v>-54.737295434969823</v>
      </c>
      <c r="T156" s="74">
        <f t="shared" si="28"/>
        <v>54.737295434969823</v>
      </c>
      <c r="V156" s="96"/>
      <c r="W156" s="38" t="s">
        <v>22</v>
      </c>
      <c r="X156" s="39">
        <v>77.400000000000006</v>
      </c>
      <c r="Y156" s="45">
        <f t="shared" si="31"/>
        <v>123.67500000000001</v>
      </c>
      <c r="Z156" s="33">
        <f t="shared" si="32"/>
        <v>-46.275000000000006</v>
      </c>
      <c r="AA156" s="31">
        <f t="shared" si="33"/>
        <v>46.275000000000006</v>
      </c>
      <c r="AB156" s="31">
        <f t="shared" si="34"/>
        <v>2141.3756250000006</v>
      </c>
      <c r="AC156" s="70">
        <f t="shared" si="37"/>
        <v>-59.786821705426362</v>
      </c>
      <c r="AD156" s="74">
        <f t="shared" si="35"/>
        <v>59.786821705426362</v>
      </c>
      <c r="AG156" s="97"/>
      <c r="AH156" s="38" t="s">
        <v>23</v>
      </c>
      <c r="AI156" s="75">
        <v>152.1</v>
      </c>
      <c r="AJ156" s="46">
        <f t="shared" si="16"/>
        <v>93.9</v>
      </c>
      <c r="AK156" s="47">
        <v>102</v>
      </c>
      <c r="AL156" s="93">
        <f t="shared" si="29"/>
        <v>126.5</v>
      </c>
    </row>
    <row r="157" spans="2:38" ht="15.75" customHeight="1">
      <c r="B157" s="97"/>
      <c r="C157" s="38" t="s">
        <v>23</v>
      </c>
      <c r="D157" s="39">
        <v>152.1</v>
      </c>
      <c r="E157" s="46">
        <f t="shared" si="17"/>
        <v>93.9</v>
      </c>
      <c r="F157" s="30">
        <f t="shared" si="18"/>
        <v>58.199999999999989</v>
      </c>
      <c r="G157" s="30">
        <f t="shared" si="19"/>
        <v>58.199999999999989</v>
      </c>
      <c r="H157" s="31">
        <f t="shared" si="30"/>
        <v>3387.2399999999989</v>
      </c>
      <c r="I157" s="70">
        <f t="shared" si="21"/>
        <v>38.264299802761336</v>
      </c>
      <c r="J157" s="71">
        <f t="shared" si="22"/>
        <v>38.264299802761336</v>
      </c>
      <c r="L157" s="97"/>
      <c r="M157" s="38" t="s">
        <v>23</v>
      </c>
      <c r="N157" s="39">
        <v>152.1</v>
      </c>
      <c r="O157" s="37">
        <f t="shared" si="23"/>
        <v>102</v>
      </c>
      <c r="P157" s="31">
        <f t="shared" si="24"/>
        <v>50.099999999999994</v>
      </c>
      <c r="Q157" s="31">
        <f t="shared" si="25"/>
        <v>50.099999999999994</v>
      </c>
      <c r="R157" s="31">
        <f t="shared" si="26"/>
        <v>2510.0099999999993</v>
      </c>
      <c r="S157" s="70">
        <f t="shared" si="36"/>
        <v>32.938856015779088</v>
      </c>
      <c r="T157" s="74">
        <f t="shared" si="28"/>
        <v>32.938856015779088</v>
      </c>
      <c r="V157" s="97"/>
      <c r="W157" s="38" t="s">
        <v>23</v>
      </c>
      <c r="X157" s="39">
        <v>152.1</v>
      </c>
      <c r="Y157" s="45">
        <f t="shared" si="31"/>
        <v>109.17499999999998</v>
      </c>
      <c r="Z157" s="33">
        <f t="shared" si="32"/>
        <v>42.925000000000011</v>
      </c>
      <c r="AA157" s="31">
        <f t="shared" si="33"/>
        <v>42.925000000000011</v>
      </c>
      <c r="AB157" s="31">
        <f t="shared" si="34"/>
        <v>1842.5556250000009</v>
      </c>
      <c r="AC157" s="70">
        <f t="shared" si="37"/>
        <v>28.221564760026308</v>
      </c>
      <c r="AD157" s="74">
        <f t="shared" si="35"/>
        <v>28.221564760026308</v>
      </c>
      <c r="AG157" s="99">
        <v>2023</v>
      </c>
      <c r="AH157" s="44" t="s">
        <v>12</v>
      </c>
      <c r="AI157" s="69">
        <v>99.7</v>
      </c>
      <c r="AJ157" s="46">
        <f t="shared" si="16"/>
        <v>114.75</v>
      </c>
      <c r="AK157" s="47">
        <v>113.3</v>
      </c>
      <c r="AL157" s="93">
        <f t="shared" si="29"/>
        <v>120.23333333333332</v>
      </c>
    </row>
    <row r="158" spans="2:38" ht="15.75" customHeight="1">
      <c r="B158" s="99">
        <v>2023</v>
      </c>
      <c r="C158" s="44" t="s">
        <v>12</v>
      </c>
      <c r="D158" s="45">
        <v>99.7</v>
      </c>
      <c r="E158" s="46">
        <f t="shared" si="17"/>
        <v>114.75</v>
      </c>
      <c r="F158" s="30">
        <f t="shared" si="18"/>
        <v>-15.049999999999997</v>
      </c>
      <c r="G158" s="30">
        <f t="shared" si="19"/>
        <v>15.049999999999997</v>
      </c>
      <c r="H158" s="31">
        <f t="shared" si="30"/>
        <v>226.50249999999991</v>
      </c>
      <c r="I158" s="70">
        <f t="shared" si="21"/>
        <v>-15.095285857572716</v>
      </c>
      <c r="J158" s="71">
        <f t="shared" si="22"/>
        <v>15.095285857572716</v>
      </c>
      <c r="L158" s="99">
        <v>2023</v>
      </c>
      <c r="M158" s="44" t="s">
        <v>12</v>
      </c>
      <c r="N158" s="45">
        <v>99.7</v>
      </c>
      <c r="O158" s="37">
        <f t="shared" si="23"/>
        <v>113.3</v>
      </c>
      <c r="P158" s="31">
        <f t="shared" si="24"/>
        <v>-13.599999999999994</v>
      </c>
      <c r="Q158" s="31">
        <f t="shared" si="25"/>
        <v>13.599999999999994</v>
      </c>
      <c r="R158" s="31">
        <f t="shared" si="26"/>
        <v>184.95999999999984</v>
      </c>
      <c r="S158" s="70">
        <f t="shared" si="36"/>
        <v>-13.640922768304907</v>
      </c>
      <c r="T158" s="74">
        <f t="shared" si="28"/>
        <v>13.640922768304907</v>
      </c>
      <c r="V158" s="99">
        <v>2023</v>
      </c>
      <c r="W158" s="44" t="s">
        <v>12</v>
      </c>
      <c r="X158" s="45">
        <v>99.7</v>
      </c>
      <c r="Y158" s="45">
        <f t="shared" si="31"/>
        <v>114.52500000000001</v>
      </c>
      <c r="Z158" s="33">
        <f t="shared" si="32"/>
        <v>-14.825000000000003</v>
      </c>
      <c r="AA158" s="31">
        <f t="shared" si="33"/>
        <v>14.825000000000003</v>
      </c>
      <c r="AB158" s="31">
        <f t="shared" si="34"/>
        <v>219.78062500000007</v>
      </c>
      <c r="AC158" s="70">
        <f t="shared" si="37"/>
        <v>-14.869608826479441</v>
      </c>
      <c r="AD158" s="74">
        <f t="shared" si="35"/>
        <v>14.869608826479441</v>
      </c>
      <c r="AG158" s="96"/>
      <c r="AH158" s="44" t="s">
        <v>13</v>
      </c>
      <c r="AI158" s="69">
        <v>75.400000000000006</v>
      </c>
      <c r="AJ158" s="46">
        <f t="shared" si="16"/>
        <v>125.9</v>
      </c>
      <c r="AK158" s="47">
        <v>109.73333333333333</v>
      </c>
      <c r="AL158" s="93">
        <f t="shared" si="29"/>
        <v>115.79166666666667</v>
      </c>
    </row>
    <row r="159" spans="2:38" ht="15.75" customHeight="1">
      <c r="B159" s="96"/>
      <c r="C159" s="44" t="s">
        <v>13</v>
      </c>
      <c r="D159" s="45">
        <v>75.400000000000006</v>
      </c>
      <c r="E159" s="46">
        <f t="shared" si="17"/>
        <v>125.9</v>
      </c>
      <c r="F159" s="30">
        <f t="shared" si="18"/>
        <v>-50.5</v>
      </c>
      <c r="G159" s="30">
        <f t="shared" si="19"/>
        <v>50.5</v>
      </c>
      <c r="H159" s="31">
        <f t="shared" si="30"/>
        <v>2550.25</v>
      </c>
      <c r="I159" s="70">
        <f t="shared" si="21"/>
        <v>-66.976127320954902</v>
      </c>
      <c r="J159" s="71">
        <f t="shared" si="22"/>
        <v>66.976127320954902</v>
      </c>
      <c r="L159" s="96"/>
      <c r="M159" s="44" t="s">
        <v>13</v>
      </c>
      <c r="N159" s="45">
        <v>75.400000000000006</v>
      </c>
      <c r="O159" s="37">
        <f t="shared" si="23"/>
        <v>109.73333333333333</v>
      </c>
      <c r="P159" s="31">
        <f t="shared" si="24"/>
        <v>-34.333333333333329</v>
      </c>
      <c r="Q159" s="31">
        <f t="shared" si="25"/>
        <v>34.333333333333329</v>
      </c>
      <c r="R159" s="31">
        <f t="shared" si="26"/>
        <v>1178.7777777777774</v>
      </c>
      <c r="S159" s="70">
        <f t="shared" si="36"/>
        <v>-45.534924845269664</v>
      </c>
      <c r="T159" s="74">
        <f t="shared" si="28"/>
        <v>45.534924845269664</v>
      </c>
      <c r="V159" s="96"/>
      <c r="W159" s="44" t="s">
        <v>13</v>
      </c>
      <c r="X159" s="45">
        <v>75.400000000000006</v>
      </c>
      <c r="Y159" s="45">
        <f t="shared" si="31"/>
        <v>109.89999999999999</v>
      </c>
      <c r="Z159" s="33">
        <f t="shared" si="32"/>
        <v>-34.499999999999986</v>
      </c>
      <c r="AA159" s="31">
        <f t="shared" si="33"/>
        <v>34.499999999999986</v>
      </c>
      <c r="AB159" s="31">
        <f t="shared" si="34"/>
        <v>1190.2499999999991</v>
      </c>
      <c r="AC159" s="70">
        <f t="shared" si="37"/>
        <v>-45.755968169761253</v>
      </c>
      <c r="AD159" s="74">
        <f t="shared" si="35"/>
        <v>45.755968169761253</v>
      </c>
      <c r="AG159" s="96"/>
      <c r="AH159" s="44" t="s">
        <v>14</v>
      </c>
      <c r="AI159" s="69">
        <v>122.5</v>
      </c>
      <c r="AJ159" s="46">
        <f t="shared" si="16"/>
        <v>87.550000000000011</v>
      </c>
      <c r="AK159" s="47">
        <v>109.06666666666668</v>
      </c>
      <c r="AL159" s="93">
        <f t="shared" si="29"/>
        <v>111.2</v>
      </c>
    </row>
    <row r="160" spans="2:38" ht="15.75" customHeight="1">
      <c r="B160" s="96"/>
      <c r="C160" s="44" t="s">
        <v>14</v>
      </c>
      <c r="D160" s="45">
        <v>122.5</v>
      </c>
      <c r="E160" s="46">
        <f t="shared" si="17"/>
        <v>87.550000000000011</v>
      </c>
      <c r="F160" s="30">
        <f t="shared" si="18"/>
        <v>34.949999999999989</v>
      </c>
      <c r="G160" s="30">
        <f t="shared" si="19"/>
        <v>34.949999999999989</v>
      </c>
      <c r="H160" s="31">
        <f t="shared" si="30"/>
        <v>1221.5024999999991</v>
      </c>
      <c r="I160" s="70">
        <f t="shared" si="21"/>
        <v>28.530612244897952</v>
      </c>
      <c r="J160" s="71">
        <f t="shared" si="22"/>
        <v>28.530612244897952</v>
      </c>
      <c r="L160" s="96"/>
      <c r="M160" s="44" t="s">
        <v>14</v>
      </c>
      <c r="N160" s="45">
        <v>122.5</v>
      </c>
      <c r="O160" s="37">
        <f t="shared" si="23"/>
        <v>109.06666666666668</v>
      </c>
      <c r="P160" s="31">
        <f t="shared" si="24"/>
        <v>13.433333333333323</v>
      </c>
      <c r="Q160" s="31">
        <f t="shared" si="25"/>
        <v>13.433333333333323</v>
      </c>
      <c r="R160" s="31">
        <f t="shared" si="26"/>
        <v>180.45444444444416</v>
      </c>
      <c r="S160" s="70">
        <f t="shared" si="36"/>
        <v>10.965986394557813</v>
      </c>
      <c r="T160" s="74">
        <f t="shared" si="28"/>
        <v>10.965986394557813</v>
      </c>
      <c r="V160" s="96"/>
      <c r="W160" s="44" t="s">
        <v>14</v>
      </c>
      <c r="X160" s="45">
        <v>122.5</v>
      </c>
      <c r="Y160" s="45">
        <f t="shared" si="31"/>
        <v>101.15</v>
      </c>
      <c r="Z160" s="33">
        <f t="shared" si="32"/>
        <v>21.349999999999994</v>
      </c>
      <c r="AA160" s="31">
        <f t="shared" si="33"/>
        <v>21.349999999999994</v>
      </c>
      <c r="AB160" s="31">
        <f t="shared" si="34"/>
        <v>455.82249999999976</v>
      </c>
      <c r="AC160" s="70">
        <f t="shared" si="37"/>
        <v>17.428571428571423</v>
      </c>
      <c r="AD160" s="74">
        <f t="shared" si="35"/>
        <v>17.428571428571423</v>
      </c>
      <c r="AG160" s="96"/>
      <c r="AH160" s="44" t="s">
        <v>15</v>
      </c>
      <c r="AI160" s="73">
        <v>112.3</v>
      </c>
      <c r="AJ160" s="46">
        <f t="shared" si="16"/>
        <v>98.95</v>
      </c>
      <c r="AK160" s="47">
        <v>99.2</v>
      </c>
      <c r="AL160" s="93">
        <f t="shared" si="29"/>
        <v>108.52500000000001</v>
      </c>
    </row>
    <row r="161" spans="2:38" ht="15.75" customHeight="1">
      <c r="B161" s="96"/>
      <c r="C161" s="44" t="s">
        <v>15</v>
      </c>
      <c r="D161" s="47">
        <v>112.3</v>
      </c>
      <c r="E161" s="46">
        <f t="shared" si="17"/>
        <v>98.95</v>
      </c>
      <c r="F161" s="31">
        <f t="shared" si="18"/>
        <v>13.349999999999994</v>
      </c>
      <c r="G161" s="30">
        <f t="shared" si="19"/>
        <v>13.349999999999994</v>
      </c>
      <c r="H161" s="31">
        <f t="shared" si="30"/>
        <v>178.22249999999985</v>
      </c>
      <c r="I161" s="70">
        <f t="shared" si="21"/>
        <v>11.887800534283164</v>
      </c>
      <c r="J161" s="71">
        <f t="shared" si="22"/>
        <v>11.887800534283164</v>
      </c>
      <c r="L161" s="96"/>
      <c r="M161" s="44" t="s">
        <v>15</v>
      </c>
      <c r="N161" s="47">
        <v>112.3</v>
      </c>
      <c r="O161" s="37">
        <f t="shared" si="23"/>
        <v>99.2</v>
      </c>
      <c r="P161" s="31">
        <f t="shared" si="24"/>
        <v>13.099999999999994</v>
      </c>
      <c r="Q161" s="31">
        <f t="shared" si="25"/>
        <v>13.099999999999994</v>
      </c>
      <c r="R161" s="31">
        <f t="shared" si="26"/>
        <v>171.60999999999984</v>
      </c>
      <c r="S161" s="70">
        <f t="shared" si="36"/>
        <v>11.665182546749772</v>
      </c>
      <c r="T161" s="74">
        <f t="shared" si="28"/>
        <v>11.665182546749772</v>
      </c>
      <c r="V161" s="96"/>
      <c r="W161" s="44" t="s">
        <v>15</v>
      </c>
      <c r="X161" s="47">
        <v>112.3</v>
      </c>
      <c r="Y161" s="45">
        <f t="shared" si="31"/>
        <v>112.42500000000001</v>
      </c>
      <c r="Z161" s="31">
        <f t="shared" si="32"/>
        <v>-0.12500000000001421</v>
      </c>
      <c r="AA161" s="31">
        <f t="shared" si="33"/>
        <v>0.12500000000001421</v>
      </c>
      <c r="AB161" s="31">
        <f t="shared" si="34"/>
        <v>1.5625000000003553E-2</v>
      </c>
      <c r="AC161" s="70">
        <f t="shared" si="37"/>
        <v>-0.11130899376670901</v>
      </c>
      <c r="AD161" s="74">
        <f t="shared" si="35"/>
        <v>0.11130899376670901</v>
      </c>
      <c r="AG161" s="96"/>
      <c r="AH161" s="44" t="s">
        <v>16</v>
      </c>
      <c r="AI161" s="69">
        <v>116.4</v>
      </c>
      <c r="AJ161" s="46">
        <f t="shared" si="16"/>
        <v>117.4</v>
      </c>
      <c r="AK161" s="47">
        <v>103.39999999999999</v>
      </c>
      <c r="AL161" s="93">
        <f t="shared" si="29"/>
        <v>107.825</v>
      </c>
    </row>
    <row r="162" spans="2:38" ht="15.75" customHeight="1">
      <c r="B162" s="96"/>
      <c r="C162" s="44" t="s">
        <v>16</v>
      </c>
      <c r="D162" s="45">
        <v>116.4</v>
      </c>
      <c r="E162" s="46">
        <f t="shared" si="17"/>
        <v>117.4</v>
      </c>
      <c r="F162" s="30">
        <f t="shared" si="18"/>
        <v>-1</v>
      </c>
      <c r="G162" s="30">
        <f t="shared" si="19"/>
        <v>1</v>
      </c>
      <c r="H162" s="31">
        <f t="shared" si="30"/>
        <v>1</v>
      </c>
      <c r="I162" s="70">
        <f t="shared" si="21"/>
        <v>-0.85910652920962194</v>
      </c>
      <c r="J162" s="71">
        <f t="shared" si="22"/>
        <v>0.85910652920962194</v>
      </c>
      <c r="L162" s="96"/>
      <c r="M162" s="44" t="s">
        <v>16</v>
      </c>
      <c r="N162" s="45">
        <v>116.4</v>
      </c>
      <c r="O162" s="37">
        <f t="shared" si="23"/>
        <v>103.39999999999999</v>
      </c>
      <c r="P162" s="31">
        <f t="shared" si="24"/>
        <v>13.000000000000014</v>
      </c>
      <c r="Q162" s="31">
        <f t="shared" si="25"/>
        <v>13.000000000000014</v>
      </c>
      <c r="R162" s="31">
        <f t="shared" si="26"/>
        <v>169.00000000000037</v>
      </c>
      <c r="S162" s="70">
        <f t="shared" si="36"/>
        <v>11.168384879725098</v>
      </c>
      <c r="T162" s="74">
        <f t="shared" si="28"/>
        <v>11.168384879725098</v>
      </c>
      <c r="V162" s="96"/>
      <c r="W162" s="44" t="s">
        <v>16</v>
      </c>
      <c r="X162" s="45">
        <v>116.4</v>
      </c>
      <c r="Y162" s="45">
        <f t="shared" si="31"/>
        <v>102.47500000000001</v>
      </c>
      <c r="Z162" s="33">
        <f t="shared" si="32"/>
        <v>13.924999999999997</v>
      </c>
      <c r="AA162" s="31">
        <f t="shared" si="33"/>
        <v>13.924999999999997</v>
      </c>
      <c r="AB162" s="31">
        <f t="shared" si="34"/>
        <v>193.90562499999993</v>
      </c>
      <c r="AC162" s="70">
        <f t="shared" si="37"/>
        <v>11.963058419243982</v>
      </c>
      <c r="AD162" s="74">
        <f t="shared" si="35"/>
        <v>11.963058419243982</v>
      </c>
      <c r="AG162" s="96"/>
      <c r="AH162" s="44" t="s">
        <v>17</v>
      </c>
      <c r="AI162" s="69">
        <v>125.5</v>
      </c>
      <c r="AJ162" s="46">
        <f t="shared" si="16"/>
        <v>114.35</v>
      </c>
      <c r="AK162" s="47">
        <v>117.06666666666668</v>
      </c>
      <c r="AL162" s="93">
        <f t="shared" si="29"/>
        <v>105.35</v>
      </c>
    </row>
    <row r="163" spans="2:38" ht="15.75" customHeight="1">
      <c r="B163" s="96"/>
      <c r="C163" s="44" t="s">
        <v>17</v>
      </c>
      <c r="D163" s="45">
        <v>125.5</v>
      </c>
      <c r="E163" s="46">
        <f t="shared" si="17"/>
        <v>114.35</v>
      </c>
      <c r="F163" s="30">
        <f t="shared" si="18"/>
        <v>11.150000000000006</v>
      </c>
      <c r="G163" s="30">
        <f t="shared" si="19"/>
        <v>11.150000000000006</v>
      </c>
      <c r="H163" s="31">
        <f t="shared" si="30"/>
        <v>124.32250000000013</v>
      </c>
      <c r="I163" s="70">
        <f t="shared" si="21"/>
        <v>8.8844621513944269</v>
      </c>
      <c r="J163" s="71">
        <f t="shared" si="22"/>
        <v>8.8844621513944269</v>
      </c>
      <c r="L163" s="96"/>
      <c r="M163" s="44" t="s">
        <v>17</v>
      </c>
      <c r="N163" s="45">
        <v>125.5</v>
      </c>
      <c r="O163" s="37">
        <f t="shared" si="23"/>
        <v>117.06666666666668</v>
      </c>
      <c r="P163" s="31">
        <f t="shared" si="24"/>
        <v>8.4333333333333229</v>
      </c>
      <c r="Q163" s="31">
        <f t="shared" si="25"/>
        <v>8.4333333333333229</v>
      </c>
      <c r="R163" s="31">
        <f t="shared" si="26"/>
        <v>71.121111111110935</v>
      </c>
      <c r="S163" s="70">
        <f t="shared" si="36"/>
        <v>6.7197875166002579</v>
      </c>
      <c r="T163" s="74">
        <f t="shared" si="28"/>
        <v>6.7197875166002579</v>
      </c>
      <c r="V163" s="96"/>
      <c r="W163" s="44" t="s">
        <v>17</v>
      </c>
      <c r="X163" s="45">
        <v>125.5</v>
      </c>
      <c r="Y163" s="45">
        <f t="shared" si="31"/>
        <v>106.65</v>
      </c>
      <c r="Z163" s="33">
        <f t="shared" si="32"/>
        <v>18.849999999999994</v>
      </c>
      <c r="AA163" s="31">
        <f t="shared" si="33"/>
        <v>18.849999999999994</v>
      </c>
      <c r="AB163" s="31">
        <f t="shared" si="34"/>
        <v>355.32249999999976</v>
      </c>
      <c r="AC163" s="70">
        <f t="shared" si="37"/>
        <v>15.019920318725093</v>
      </c>
      <c r="AD163" s="74">
        <f t="shared" si="35"/>
        <v>15.019920318725093</v>
      </c>
      <c r="AG163" s="96"/>
      <c r="AH163" s="44" t="s">
        <v>18</v>
      </c>
      <c r="AI163" s="73">
        <v>114.3</v>
      </c>
      <c r="AJ163" s="46">
        <f t="shared" si="16"/>
        <v>120.95</v>
      </c>
      <c r="AK163" s="47">
        <v>118.06666666666666</v>
      </c>
      <c r="AL163" s="93">
        <f t="shared" si="29"/>
        <v>107.18333333333334</v>
      </c>
    </row>
    <row r="164" spans="2:38" ht="15.75" customHeight="1">
      <c r="B164" s="96"/>
      <c r="C164" s="44" t="s">
        <v>18</v>
      </c>
      <c r="D164" s="47">
        <v>114.3</v>
      </c>
      <c r="E164" s="46">
        <f t="shared" si="17"/>
        <v>120.95</v>
      </c>
      <c r="F164" s="31">
        <f t="shared" si="18"/>
        <v>-6.6500000000000057</v>
      </c>
      <c r="G164" s="30">
        <f t="shared" si="19"/>
        <v>6.6500000000000057</v>
      </c>
      <c r="H164" s="31">
        <f t="shared" si="30"/>
        <v>44.222500000000075</v>
      </c>
      <c r="I164" s="70">
        <f t="shared" si="21"/>
        <v>-5.8180227471566104</v>
      </c>
      <c r="J164" s="71">
        <f t="shared" si="22"/>
        <v>5.8180227471566104</v>
      </c>
      <c r="L164" s="96"/>
      <c r="M164" s="44" t="s">
        <v>18</v>
      </c>
      <c r="N164" s="47">
        <v>114.3</v>
      </c>
      <c r="O164" s="37">
        <f t="shared" si="23"/>
        <v>118.06666666666666</v>
      </c>
      <c r="P164" s="31">
        <f t="shared" si="24"/>
        <v>-3.7666666666666657</v>
      </c>
      <c r="Q164" s="31">
        <f t="shared" si="25"/>
        <v>3.7666666666666657</v>
      </c>
      <c r="R164" s="31">
        <f t="shared" si="26"/>
        <v>14.18777777777777</v>
      </c>
      <c r="S164" s="70">
        <f t="shared" si="36"/>
        <v>-3.2954214056576254</v>
      </c>
      <c r="T164" s="74">
        <f t="shared" si="28"/>
        <v>3.2954214056576254</v>
      </c>
      <c r="V164" s="96"/>
      <c r="W164" s="44" t="s">
        <v>18</v>
      </c>
      <c r="X164" s="47">
        <v>114.3</v>
      </c>
      <c r="Y164" s="45">
        <f t="shared" si="31"/>
        <v>119.17500000000001</v>
      </c>
      <c r="Z164" s="31">
        <f t="shared" si="32"/>
        <v>-4.8750000000000142</v>
      </c>
      <c r="AA164" s="31">
        <f t="shared" si="33"/>
        <v>4.8750000000000142</v>
      </c>
      <c r="AB164" s="31">
        <f t="shared" si="34"/>
        <v>23.765625000000139</v>
      </c>
      <c r="AC164" s="70">
        <f t="shared" si="37"/>
        <v>-4.2650918635170729</v>
      </c>
      <c r="AD164" s="74">
        <f t="shared" si="35"/>
        <v>4.2650918635170729</v>
      </c>
      <c r="AG164" s="96"/>
      <c r="AH164" s="44" t="s">
        <v>19</v>
      </c>
      <c r="AI164" s="78">
        <v>127.9</v>
      </c>
      <c r="AJ164" s="46">
        <f t="shared" si="16"/>
        <v>119.9</v>
      </c>
      <c r="AK164" s="47">
        <v>118.73333333333333</v>
      </c>
      <c r="AL164" s="93">
        <f t="shared" si="29"/>
        <v>109.43333333333334</v>
      </c>
    </row>
    <row r="165" spans="2:38" ht="15.75" customHeight="1">
      <c r="B165" s="96"/>
      <c r="C165" s="44" t="s">
        <v>19</v>
      </c>
      <c r="D165" s="49">
        <v>127.9</v>
      </c>
      <c r="E165" s="46">
        <f t="shared" si="17"/>
        <v>119.9</v>
      </c>
      <c r="F165" s="30">
        <f t="shared" si="18"/>
        <v>8</v>
      </c>
      <c r="G165" s="30">
        <f t="shared" si="19"/>
        <v>8</v>
      </c>
      <c r="H165" s="31">
        <f t="shared" si="30"/>
        <v>64</v>
      </c>
      <c r="I165" s="70">
        <f t="shared" si="21"/>
        <v>6.2548866301798274</v>
      </c>
      <c r="J165" s="71">
        <f t="shared" si="22"/>
        <v>6.2548866301798274</v>
      </c>
      <c r="L165" s="96"/>
      <c r="M165" s="44" t="s">
        <v>19</v>
      </c>
      <c r="N165" s="49">
        <v>127.9</v>
      </c>
      <c r="O165" s="37">
        <f t="shared" si="23"/>
        <v>118.73333333333333</v>
      </c>
      <c r="P165" s="31">
        <f t="shared" si="24"/>
        <v>9.1666666666666714</v>
      </c>
      <c r="Q165" s="31">
        <f t="shared" si="25"/>
        <v>9.1666666666666714</v>
      </c>
      <c r="R165" s="31">
        <f t="shared" si="26"/>
        <v>84.027777777777871</v>
      </c>
      <c r="S165" s="70">
        <f t="shared" si="36"/>
        <v>7.1670575970810555</v>
      </c>
      <c r="T165" s="74">
        <f t="shared" si="28"/>
        <v>7.1670575970810555</v>
      </c>
      <c r="V165" s="96"/>
      <c r="W165" s="44" t="s">
        <v>19</v>
      </c>
      <c r="X165" s="49">
        <v>127.9</v>
      </c>
      <c r="Y165" s="45">
        <f t="shared" si="31"/>
        <v>117.125</v>
      </c>
      <c r="Z165" s="33">
        <f t="shared" si="32"/>
        <v>10.775000000000006</v>
      </c>
      <c r="AA165" s="31">
        <f t="shared" si="33"/>
        <v>10.775000000000006</v>
      </c>
      <c r="AB165" s="31">
        <f t="shared" si="34"/>
        <v>116.10062500000012</v>
      </c>
      <c r="AC165" s="70">
        <f t="shared" si="37"/>
        <v>8.4245504300234604</v>
      </c>
      <c r="AD165" s="74">
        <f t="shared" si="35"/>
        <v>8.4245504300234604</v>
      </c>
      <c r="AG165" s="96"/>
      <c r="AH165" s="44" t="s">
        <v>20</v>
      </c>
      <c r="AI165" s="62">
        <v>119.6</v>
      </c>
      <c r="AJ165" s="46">
        <f t="shared" si="16"/>
        <v>121.1</v>
      </c>
      <c r="AK165" s="47">
        <v>122.56666666666668</v>
      </c>
      <c r="AL165" s="93">
        <f t="shared" si="29"/>
        <v>114.31666666666666</v>
      </c>
    </row>
    <row r="166" spans="2:38" ht="15.75" customHeight="1">
      <c r="B166" s="96"/>
      <c r="C166" s="44" t="s">
        <v>20</v>
      </c>
      <c r="D166" s="29">
        <v>119.6</v>
      </c>
      <c r="E166" s="46">
        <f t="shared" si="17"/>
        <v>121.1</v>
      </c>
      <c r="F166" s="30">
        <f t="shared" si="18"/>
        <v>-1.5</v>
      </c>
      <c r="G166" s="30">
        <f t="shared" si="19"/>
        <v>1.5</v>
      </c>
      <c r="H166" s="31">
        <f t="shared" si="30"/>
        <v>2.25</v>
      </c>
      <c r="I166" s="70">
        <f t="shared" si="21"/>
        <v>-1.254180602006689</v>
      </c>
      <c r="J166" s="71">
        <f t="shared" si="22"/>
        <v>1.254180602006689</v>
      </c>
      <c r="L166" s="96"/>
      <c r="M166" s="44" t="s">
        <v>20</v>
      </c>
      <c r="N166" s="29">
        <v>119.6</v>
      </c>
      <c r="O166" s="37">
        <f t="shared" si="23"/>
        <v>122.56666666666668</v>
      </c>
      <c r="P166" s="31">
        <f t="shared" si="24"/>
        <v>-2.9666666666666828</v>
      </c>
      <c r="Q166" s="31">
        <f t="shared" si="25"/>
        <v>2.9666666666666828</v>
      </c>
      <c r="R166" s="31">
        <f t="shared" si="26"/>
        <v>8.8011111111112061</v>
      </c>
      <c r="S166" s="70">
        <f t="shared" si="36"/>
        <v>-2.4804905239687982</v>
      </c>
      <c r="T166" s="74">
        <f t="shared" si="28"/>
        <v>2.4804905239687982</v>
      </c>
      <c r="V166" s="96"/>
      <c r="W166" s="44" t="s">
        <v>20</v>
      </c>
      <c r="X166" s="29">
        <v>119.6</v>
      </c>
      <c r="Y166" s="45">
        <f t="shared" si="31"/>
        <v>121.02500000000001</v>
      </c>
      <c r="Z166" s="33">
        <f t="shared" si="32"/>
        <v>-1.4250000000000114</v>
      </c>
      <c r="AA166" s="31">
        <f t="shared" si="33"/>
        <v>1.4250000000000114</v>
      </c>
      <c r="AB166" s="31">
        <f t="shared" si="34"/>
        <v>2.0306250000000325</v>
      </c>
      <c r="AC166" s="70">
        <f t="shared" si="37"/>
        <v>-1.1914715719063642</v>
      </c>
      <c r="AD166" s="74">
        <f t="shared" si="35"/>
        <v>1.1914715719063642</v>
      </c>
      <c r="AG166" s="96"/>
      <c r="AH166" s="44" t="s">
        <v>21</v>
      </c>
      <c r="AI166" s="62">
        <v>108.7</v>
      </c>
      <c r="AJ166" s="46">
        <f t="shared" si="16"/>
        <v>123.75</v>
      </c>
      <c r="AK166" s="47">
        <v>120.59999999999998</v>
      </c>
      <c r="AL166" s="93">
        <f t="shared" si="29"/>
        <v>119.10833333333333</v>
      </c>
    </row>
    <row r="167" spans="2:38" ht="15.75" customHeight="1">
      <c r="B167" s="96"/>
      <c r="C167" s="44" t="s">
        <v>21</v>
      </c>
      <c r="D167" s="29">
        <v>108.7</v>
      </c>
      <c r="E167" s="46">
        <f t="shared" si="17"/>
        <v>123.75</v>
      </c>
      <c r="F167" s="30">
        <f t="shared" si="18"/>
        <v>-15.049999999999997</v>
      </c>
      <c r="G167" s="30">
        <f t="shared" si="19"/>
        <v>15.049999999999997</v>
      </c>
      <c r="H167" s="31">
        <f t="shared" si="30"/>
        <v>226.50249999999991</v>
      </c>
      <c r="I167" s="70">
        <f t="shared" si="21"/>
        <v>-13.84544618215271</v>
      </c>
      <c r="J167" s="71">
        <f t="shared" si="22"/>
        <v>13.84544618215271</v>
      </c>
      <c r="L167" s="96"/>
      <c r="M167" s="44" t="s">
        <v>21</v>
      </c>
      <c r="N167" s="29">
        <v>108.7</v>
      </c>
      <c r="O167" s="37">
        <f t="shared" si="23"/>
        <v>120.59999999999998</v>
      </c>
      <c r="P167" s="31">
        <f t="shared" si="24"/>
        <v>-11.899999999999977</v>
      </c>
      <c r="Q167" s="31">
        <f t="shared" si="25"/>
        <v>11.899999999999977</v>
      </c>
      <c r="R167" s="31">
        <f t="shared" si="26"/>
        <v>141.60999999999945</v>
      </c>
      <c r="S167" s="70">
        <f t="shared" si="36"/>
        <v>-10.947562097516078</v>
      </c>
      <c r="T167" s="74">
        <f t="shared" si="28"/>
        <v>10.947562097516078</v>
      </c>
      <c r="V167" s="96"/>
      <c r="W167" s="44" t="s">
        <v>21</v>
      </c>
      <c r="X167" s="29">
        <v>108.7</v>
      </c>
      <c r="Y167" s="45">
        <f t="shared" si="31"/>
        <v>121.82500000000002</v>
      </c>
      <c r="Z167" s="33">
        <f t="shared" si="32"/>
        <v>-13.125000000000014</v>
      </c>
      <c r="AA167" s="31">
        <f t="shared" si="33"/>
        <v>13.125000000000014</v>
      </c>
      <c r="AB167" s="31">
        <f t="shared" si="34"/>
        <v>172.26562500000037</v>
      </c>
      <c r="AC167" s="70">
        <f t="shared" si="37"/>
        <v>-12.07451701931924</v>
      </c>
      <c r="AD167" s="74">
        <f t="shared" si="35"/>
        <v>12.07451701931924</v>
      </c>
      <c r="AG167" s="96"/>
      <c r="AH167" s="44" t="s">
        <v>22</v>
      </c>
      <c r="AI167" s="62">
        <v>78.5</v>
      </c>
      <c r="AJ167" s="46">
        <f t="shared" si="16"/>
        <v>114.15</v>
      </c>
      <c r="AK167" s="47">
        <v>118.73333333333333</v>
      </c>
      <c r="AL167" s="93">
        <f t="shared" si="29"/>
        <v>119.99166666666666</v>
      </c>
    </row>
    <row r="168" spans="2:38" ht="15.75" customHeight="1">
      <c r="B168" s="96"/>
      <c r="C168" s="44" t="s">
        <v>22</v>
      </c>
      <c r="D168" s="29">
        <v>78.5</v>
      </c>
      <c r="E168" s="46">
        <f t="shared" si="17"/>
        <v>114.15</v>
      </c>
      <c r="F168" s="30">
        <f t="shared" si="18"/>
        <v>-35.650000000000006</v>
      </c>
      <c r="G168" s="30">
        <f t="shared" si="19"/>
        <v>35.650000000000006</v>
      </c>
      <c r="H168" s="31">
        <f t="shared" si="30"/>
        <v>1270.9225000000004</v>
      </c>
      <c r="I168" s="70">
        <f t="shared" si="21"/>
        <v>-45.414012738853508</v>
      </c>
      <c r="J168" s="71">
        <f t="shared" si="22"/>
        <v>45.414012738853508</v>
      </c>
      <c r="L168" s="96"/>
      <c r="M168" s="44" t="s">
        <v>22</v>
      </c>
      <c r="N168" s="29">
        <v>78.5</v>
      </c>
      <c r="O168" s="37">
        <f t="shared" si="23"/>
        <v>118.73333333333333</v>
      </c>
      <c r="P168" s="31">
        <f t="shared" si="24"/>
        <v>-40.233333333333334</v>
      </c>
      <c r="Q168" s="31">
        <f t="shared" si="25"/>
        <v>40.233333333333334</v>
      </c>
      <c r="R168" s="31">
        <f t="shared" si="26"/>
        <v>1618.7211111111112</v>
      </c>
      <c r="S168" s="70">
        <f t="shared" si="36"/>
        <v>-51.252653927813164</v>
      </c>
      <c r="T168" s="74">
        <f t="shared" si="28"/>
        <v>51.252653927813164</v>
      </c>
      <c r="V168" s="96"/>
      <c r="W168" s="44" t="s">
        <v>22</v>
      </c>
      <c r="X168" s="29">
        <v>78.5</v>
      </c>
      <c r="Y168" s="45">
        <f t="shared" si="31"/>
        <v>117.62499999999999</v>
      </c>
      <c r="Z168" s="33">
        <f t="shared" si="32"/>
        <v>-39.124999999999986</v>
      </c>
      <c r="AA168" s="31">
        <f t="shared" si="33"/>
        <v>39.124999999999986</v>
      </c>
      <c r="AB168" s="31">
        <f t="shared" si="34"/>
        <v>1530.7656249999989</v>
      </c>
      <c r="AC168" s="70">
        <f t="shared" si="37"/>
        <v>-49.840764331210174</v>
      </c>
      <c r="AD168" s="74">
        <f t="shared" si="35"/>
        <v>49.840764331210174</v>
      </c>
      <c r="AG168" s="97"/>
      <c r="AH168" s="44" t="s">
        <v>23</v>
      </c>
      <c r="AI168" s="62">
        <v>150.80000000000001</v>
      </c>
      <c r="AJ168" s="46">
        <f t="shared" si="16"/>
        <v>93.6</v>
      </c>
      <c r="AK168" s="47">
        <v>102.26666666666667</v>
      </c>
      <c r="AL168" s="93">
        <f t="shared" si="29"/>
        <v>120.15833333333333</v>
      </c>
    </row>
    <row r="169" spans="2:38" ht="15.75" customHeight="1">
      <c r="B169" s="97"/>
      <c r="C169" s="44" t="s">
        <v>23</v>
      </c>
      <c r="D169" s="29">
        <v>150.80000000000001</v>
      </c>
      <c r="E169" s="46">
        <f t="shared" si="17"/>
        <v>93.6</v>
      </c>
      <c r="F169" s="30">
        <f t="shared" si="18"/>
        <v>57.200000000000017</v>
      </c>
      <c r="G169" s="30">
        <f t="shared" si="19"/>
        <v>57.200000000000017</v>
      </c>
      <c r="H169" s="31">
        <f t="shared" si="30"/>
        <v>3271.840000000002</v>
      </c>
      <c r="I169" s="70">
        <f t="shared" si="21"/>
        <v>37.931034482758633</v>
      </c>
      <c r="J169" s="71">
        <f t="shared" si="22"/>
        <v>37.931034482758633</v>
      </c>
      <c r="L169" s="97"/>
      <c r="M169" s="44" t="s">
        <v>23</v>
      </c>
      <c r="N169" s="29">
        <v>150.80000000000001</v>
      </c>
      <c r="O169" s="37">
        <f t="shared" si="23"/>
        <v>102.26666666666667</v>
      </c>
      <c r="P169" s="31">
        <f t="shared" si="24"/>
        <v>48.533333333333346</v>
      </c>
      <c r="Q169" s="31">
        <f t="shared" si="25"/>
        <v>48.533333333333346</v>
      </c>
      <c r="R169" s="31">
        <f t="shared" si="26"/>
        <v>2355.4844444444457</v>
      </c>
      <c r="S169" s="70">
        <f t="shared" si="36"/>
        <v>32.18390804597702</v>
      </c>
      <c r="T169" s="74">
        <f t="shared" si="28"/>
        <v>32.18390804597702</v>
      </c>
      <c r="V169" s="97"/>
      <c r="W169" s="44" t="s">
        <v>23</v>
      </c>
      <c r="X169" s="29">
        <v>150.80000000000001</v>
      </c>
      <c r="Y169" s="45">
        <f t="shared" si="31"/>
        <v>108.675</v>
      </c>
      <c r="Z169" s="33">
        <f t="shared" si="32"/>
        <v>42.125000000000014</v>
      </c>
      <c r="AA169" s="31">
        <f t="shared" si="33"/>
        <v>42.125000000000014</v>
      </c>
      <c r="AB169" s="31">
        <f t="shared" si="34"/>
        <v>1774.5156250000011</v>
      </c>
      <c r="AC169" s="70">
        <f t="shared" si="37"/>
        <v>27.934350132626001</v>
      </c>
      <c r="AD169" s="74">
        <f t="shared" si="35"/>
        <v>27.934350132626001</v>
      </c>
    </row>
    <row r="170" spans="2:38" ht="15.75" customHeight="1">
      <c r="B170" s="55"/>
      <c r="C170" s="55"/>
      <c r="D170" s="79" t="s">
        <v>34</v>
      </c>
      <c r="E170" s="57">
        <f t="shared" ref="E170:J170" si="38">SUM(E134:E169)</f>
        <v>3847.25</v>
      </c>
      <c r="F170" s="80">
        <f t="shared" si="38"/>
        <v>68.150000000000006</v>
      </c>
      <c r="G170" s="80">
        <f t="shared" si="38"/>
        <v>713.44999999999982</v>
      </c>
      <c r="H170" s="80">
        <f t="shared" si="38"/>
        <v>25200.272499999999</v>
      </c>
      <c r="I170" s="80">
        <f t="shared" si="38"/>
        <v>-80.714353052406437</v>
      </c>
      <c r="J170" s="80">
        <f t="shared" si="38"/>
        <v>666.59582156293516</v>
      </c>
      <c r="L170" s="55"/>
      <c r="M170" s="55"/>
      <c r="N170" s="58" t="s">
        <v>45</v>
      </c>
      <c r="O170" s="57">
        <f t="shared" ref="O170:T170" si="39">SUM(O134:O169)</f>
        <v>3757.2999999999993</v>
      </c>
      <c r="P170" s="57">
        <f t="shared" si="39"/>
        <v>38.700000000000045</v>
      </c>
      <c r="Q170" s="57">
        <f t="shared" si="39"/>
        <v>635.9</v>
      </c>
      <c r="R170" s="57">
        <f t="shared" si="39"/>
        <v>18809.703333333335</v>
      </c>
      <c r="S170" s="57">
        <f t="shared" si="39"/>
        <v>-90.039476400387727</v>
      </c>
      <c r="T170" s="57">
        <f t="shared" si="39"/>
        <v>601.15537820315581</v>
      </c>
      <c r="V170" s="55"/>
      <c r="W170" s="55"/>
      <c r="X170" s="58" t="s">
        <v>45</v>
      </c>
      <c r="Y170" s="57">
        <f t="shared" ref="Y170:AD170" si="40">SUM(Y134:Y169)</f>
        <v>3652.5750000000012</v>
      </c>
      <c r="Z170" s="57">
        <f t="shared" si="40"/>
        <v>35.924999999999997</v>
      </c>
      <c r="AA170" s="57">
        <f t="shared" si="40"/>
        <v>645.52500000000009</v>
      </c>
      <c r="AB170" s="57">
        <f t="shared" si="40"/>
        <v>18643.168125</v>
      </c>
      <c r="AC170" s="57">
        <f t="shared" si="40"/>
        <v>-97.998358954591339</v>
      </c>
      <c r="AD170" s="57">
        <f t="shared" si="40"/>
        <v>611.99359183268598</v>
      </c>
    </row>
    <row r="171" spans="2:38" ht="15.75" customHeight="1">
      <c r="B171" s="95">
        <v>2024</v>
      </c>
      <c r="C171" s="52" t="s">
        <v>12</v>
      </c>
      <c r="D171" s="55">
        <v>100.5</v>
      </c>
      <c r="E171" s="81">
        <f>SUM(D168+D169)/2</f>
        <v>114.65</v>
      </c>
      <c r="F171" s="46" t="s">
        <v>44</v>
      </c>
      <c r="G171" s="46" t="s">
        <v>44</v>
      </c>
      <c r="H171" s="46" t="s">
        <v>44</v>
      </c>
      <c r="I171" s="46" t="s">
        <v>44</v>
      </c>
      <c r="J171" s="79" t="s">
        <v>44</v>
      </c>
      <c r="L171" s="95">
        <v>2024</v>
      </c>
      <c r="M171" s="52" t="s">
        <v>12</v>
      </c>
      <c r="N171" s="55">
        <v>100.5</v>
      </c>
      <c r="O171" s="81">
        <f>SUM(N167+N168+N169)/3</f>
        <v>112.66666666666667</v>
      </c>
      <c r="P171" s="46" t="s">
        <v>44</v>
      </c>
      <c r="Q171" s="46" t="s">
        <v>44</v>
      </c>
      <c r="R171" s="46" t="s">
        <v>44</v>
      </c>
      <c r="S171" s="46" t="s">
        <v>44</v>
      </c>
      <c r="T171" s="33" t="s">
        <v>44</v>
      </c>
      <c r="V171" s="95">
        <v>2024</v>
      </c>
      <c r="W171" s="52" t="s">
        <v>12</v>
      </c>
      <c r="X171" s="55">
        <v>100.5</v>
      </c>
      <c r="Y171" s="81">
        <f>SUM(X166:X169)/4</f>
        <v>114.4</v>
      </c>
      <c r="Z171" s="46" t="s">
        <v>44</v>
      </c>
      <c r="AA171" s="46" t="s">
        <v>44</v>
      </c>
      <c r="AB171" s="46" t="s">
        <v>44</v>
      </c>
      <c r="AC171" s="46" t="s">
        <v>44</v>
      </c>
      <c r="AD171" s="33" t="s">
        <v>44</v>
      </c>
    </row>
    <row r="172" spans="2:38" ht="15.75" customHeight="1">
      <c r="B172" s="96"/>
      <c r="C172" s="52" t="s">
        <v>13</v>
      </c>
      <c r="D172" s="55">
        <v>76</v>
      </c>
      <c r="E172" s="81">
        <f>SUM(D169+D171)/2</f>
        <v>125.65</v>
      </c>
      <c r="F172" s="46" t="s">
        <v>44</v>
      </c>
      <c r="G172" s="46" t="s">
        <v>44</v>
      </c>
      <c r="H172" s="46" t="s">
        <v>44</v>
      </c>
      <c r="I172" s="46" t="s">
        <v>44</v>
      </c>
      <c r="J172" s="79" t="s">
        <v>44</v>
      </c>
      <c r="L172" s="96"/>
      <c r="M172" s="52" t="s">
        <v>13</v>
      </c>
      <c r="N172" s="55">
        <v>76</v>
      </c>
      <c r="O172" s="81">
        <f>SUM(N168+N169+N171)/3</f>
        <v>109.93333333333334</v>
      </c>
      <c r="P172" s="46" t="s">
        <v>44</v>
      </c>
      <c r="Q172" s="46" t="s">
        <v>44</v>
      </c>
      <c r="R172" s="46" t="s">
        <v>44</v>
      </c>
      <c r="S172" s="46" t="s">
        <v>44</v>
      </c>
      <c r="T172" s="33" t="s">
        <v>44</v>
      </c>
      <c r="V172" s="96"/>
      <c r="W172" s="52" t="s">
        <v>13</v>
      </c>
      <c r="X172" s="55">
        <v>76</v>
      </c>
      <c r="Y172" s="81">
        <f>SUM(X167+X168+X169+X171)/4</f>
        <v>109.625</v>
      </c>
      <c r="Z172" s="46" t="s">
        <v>44</v>
      </c>
      <c r="AA172" s="46" t="s">
        <v>44</v>
      </c>
      <c r="AB172" s="46" t="s">
        <v>44</v>
      </c>
      <c r="AC172" s="46" t="s">
        <v>44</v>
      </c>
      <c r="AD172" s="33" t="s">
        <v>44</v>
      </c>
    </row>
    <row r="173" spans="2:38" ht="15.75" customHeight="1">
      <c r="B173" s="96"/>
      <c r="C173" s="52" t="s">
        <v>14</v>
      </c>
      <c r="D173" s="55">
        <v>122.5</v>
      </c>
      <c r="E173" s="81">
        <f>SUM(D171:D172)/2</f>
        <v>88.25</v>
      </c>
      <c r="F173" s="46" t="s">
        <v>44</v>
      </c>
      <c r="G173" s="46" t="s">
        <v>44</v>
      </c>
      <c r="H173" s="46" t="s">
        <v>44</v>
      </c>
      <c r="I173" s="46" t="s">
        <v>44</v>
      </c>
      <c r="J173" s="79" t="s">
        <v>44</v>
      </c>
      <c r="L173" s="96"/>
      <c r="M173" s="52" t="s">
        <v>14</v>
      </c>
      <c r="N173" s="55">
        <v>122.5</v>
      </c>
      <c r="O173" s="81">
        <f>SUM(N169+N171+N172)/3</f>
        <v>109.10000000000001</v>
      </c>
      <c r="P173" s="46" t="s">
        <v>44</v>
      </c>
      <c r="Q173" s="46" t="s">
        <v>44</v>
      </c>
      <c r="R173" s="46" t="s">
        <v>44</v>
      </c>
      <c r="S173" s="46" t="s">
        <v>44</v>
      </c>
      <c r="T173" s="33" t="s">
        <v>44</v>
      </c>
      <c r="V173" s="96"/>
      <c r="W173" s="52" t="s">
        <v>14</v>
      </c>
      <c r="X173" s="55">
        <v>122.5</v>
      </c>
      <c r="Y173" s="81">
        <f>SUM(X168+X169+X171+X172)/4</f>
        <v>101.45</v>
      </c>
      <c r="Z173" s="46" t="s">
        <v>44</v>
      </c>
      <c r="AA173" s="46" t="s">
        <v>44</v>
      </c>
      <c r="AB173" s="46" t="s">
        <v>44</v>
      </c>
      <c r="AC173" s="46" t="s">
        <v>44</v>
      </c>
      <c r="AD173" s="33" t="s">
        <v>44</v>
      </c>
    </row>
    <row r="174" spans="2:38" ht="15.75" customHeight="1">
      <c r="B174" s="96"/>
      <c r="C174" s="52" t="s">
        <v>15</v>
      </c>
      <c r="D174" s="55">
        <v>110.8</v>
      </c>
      <c r="E174" s="81">
        <f t="shared" ref="E174:E182" si="41">SUM(D172+D173)/2</f>
        <v>99.25</v>
      </c>
      <c r="F174" s="46" t="s">
        <v>44</v>
      </c>
      <c r="G174" s="46" t="s">
        <v>44</v>
      </c>
      <c r="H174" s="46" t="s">
        <v>44</v>
      </c>
      <c r="I174" s="46" t="s">
        <v>44</v>
      </c>
      <c r="J174" s="79" t="s">
        <v>44</v>
      </c>
      <c r="L174" s="96"/>
      <c r="M174" s="52" t="s">
        <v>15</v>
      </c>
      <c r="N174" s="58">
        <v>110.8</v>
      </c>
      <c r="O174" s="81">
        <f t="shared" ref="O174:O182" si="42">SUM(N171:N173)/3</f>
        <v>99.666666666666671</v>
      </c>
      <c r="P174" s="46" t="s">
        <v>44</v>
      </c>
      <c r="Q174" s="46" t="s">
        <v>44</v>
      </c>
      <c r="R174" s="46" t="s">
        <v>44</v>
      </c>
      <c r="S174" s="46" t="s">
        <v>44</v>
      </c>
      <c r="T174" s="33" t="s">
        <v>44</v>
      </c>
      <c r="V174" s="96"/>
      <c r="W174" s="52" t="s">
        <v>15</v>
      </c>
      <c r="X174" s="58">
        <v>110.8</v>
      </c>
      <c r="Y174" s="81">
        <f>SUM(X169+X171+X172+X173)/4</f>
        <v>112.45</v>
      </c>
      <c r="Z174" s="46" t="s">
        <v>44</v>
      </c>
      <c r="AA174" s="46" t="s">
        <v>44</v>
      </c>
      <c r="AB174" s="46" t="s">
        <v>44</v>
      </c>
      <c r="AC174" s="46" t="s">
        <v>44</v>
      </c>
      <c r="AD174" s="33" t="s">
        <v>44</v>
      </c>
    </row>
    <row r="175" spans="2:38" ht="15.75" customHeight="1">
      <c r="B175" s="96"/>
      <c r="C175" s="52" t="s">
        <v>16</v>
      </c>
      <c r="D175" s="55">
        <v>117</v>
      </c>
      <c r="E175" s="81">
        <f t="shared" si="41"/>
        <v>116.65</v>
      </c>
      <c r="F175" s="46" t="s">
        <v>44</v>
      </c>
      <c r="G175" s="46" t="s">
        <v>44</v>
      </c>
      <c r="H175" s="46" t="s">
        <v>44</v>
      </c>
      <c r="I175" s="46" t="s">
        <v>44</v>
      </c>
      <c r="J175" s="79" t="s">
        <v>44</v>
      </c>
      <c r="L175" s="96"/>
      <c r="M175" s="52" t="s">
        <v>16</v>
      </c>
      <c r="N175" s="55">
        <v>117</v>
      </c>
      <c r="O175" s="81">
        <f t="shared" si="42"/>
        <v>103.10000000000001</v>
      </c>
      <c r="P175" s="46" t="s">
        <v>44</v>
      </c>
      <c r="Q175" s="46" t="s">
        <v>44</v>
      </c>
      <c r="R175" s="46" t="s">
        <v>44</v>
      </c>
      <c r="S175" s="46" t="s">
        <v>44</v>
      </c>
      <c r="T175" s="33" t="s">
        <v>44</v>
      </c>
      <c r="V175" s="96"/>
      <c r="W175" s="52" t="s">
        <v>16</v>
      </c>
      <c r="X175" s="55">
        <v>117</v>
      </c>
      <c r="Y175" s="81">
        <f t="shared" ref="Y175:Y182" si="43">SUM(X171:X174)/4</f>
        <v>102.45</v>
      </c>
      <c r="Z175" s="46" t="s">
        <v>44</v>
      </c>
      <c r="AA175" s="46" t="s">
        <v>44</v>
      </c>
      <c r="AB175" s="46" t="s">
        <v>44</v>
      </c>
      <c r="AC175" s="46" t="s">
        <v>44</v>
      </c>
      <c r="AD175" s="33" t="s">
        <v>44</v>
      </c>
    </row>
    <row r="176" spans="2:38" ht="15.75" customHeight="1">
      <c r="B176" s="96"/>
      <c r="C176" s="52" t="s">
        <v>17</v>
      </c>
      <c r="D176" s="55">
        <v>126</v>
      </c>
      <c r="E176" s="81">
        <f t="shared" si="41"/>
        <v>113.9</v>
      </c>
      <c r="F176" s="46" t="s">
        <v>44</v>
      </c>
      <c r="G176" s="46" t="s">
        <v>44</v>
      </c>
      <c r="H176" s="46" t="s">
        <v>44</v>
      </c>
      <c r="I176" s="46" t="s">
        <v>44</v>
      </c>
      <c r="J176" s="79" t="s">
        <v>44</v>
      </c>
      <c r="L176" s="96"/>
      <c r="M176" s="52" t="s">
        <v>17</v>
      </c>
      <c r="N176" s="55">
        <v>126</v>
      </c>
      <c r="O176" s="81">
        <f t="shared" si="42"/>
        <v>116.76666666666667</v>
      </c>
      <c r="P176" s="46" t="s">
        <v>44</v>
      </c>
      <c r="Q176" s="46" t="s">
        <v>44</v>
      </c>
      <c r="R176" s="46" t="s">
        <v>44</v>
      </c>
      <c r="S176" s="46" t="s">
        <v>44</v>
      </c>
      <c r="T176" s="33" t="s">
        <v>44</v>
      </c>
      <c r="V176" s="96"/>
      <c r="W176" s="52" t="s">
        <v>17</v>
      </c>
      <c r="X176" s="55">
        <v>126</v>
      </c>
      <c r="Y176" s="81">
        <f t="shared" si="43"/>
        <v>106.575</v>
      </c>
      <c r="Z176" s="46" t="s">
        <v>44</v>
      </c>
      <c r="AA176" s="46" t="s">
        <v>44</v>
      </c>
      <c r="AB176" s="46" t="s">
        <v>44</v>
      </c>
      <c r="AC176" s="46" t="s">
        <v>44</v>
      </c>
      <c r="AD176" s="33" t="s">
        <v>44</v>
      </c>
    </row>
    <row r="177" spans="2:30" ht="15.75" customHeight="1">
      <c r="B177" s="96"/>
      <c r="C177" s="52" t="s">
        <v>18</v>
      </c>
      <c r="D177" s="58">
        <v>65</v>
      </c>
      <c r="E177" s="81">
        <f t="shared" si="41"/>
        <v>121.5</v>
      </c>
      <c r="F177" s="46" t="s">
        <v>44</v>
      </c>
      <c r="G177" s="46" t="s">
        <v>44</v>
      </c>
      <c r="H177" s="46" t="s">
        <v>44</v>
      </c>
      <c r="I177" s="46" t="s">
        <v>44</v>
      </c>
      <c r="J177" s="79" t="s">
        <v>44</v>
      </c>
      <c r="L177" s="96"/>
      <c r="M177" s="52" t="s">
        <v>18</v>
      </c>
      <c r="N177" s="58">
        <v>65</v>
      </c>
      <c r="O177" s="81">
        <f t="shared" si="42"/>
        <v>117.93333333333334</v>
      </c>
      <c r="P177" s="46" t="s">
        <v>44</v>
      </c>
      <c r="Q177" s="46" t="s">
        <v>44</v>
      </c>
      <c r="R177" s="46" t="s">
        <v>44</v>
      </c>
      <c r="S177" s="46" t="s">
        <v>44</v>
      </c>
      <c r="T177" s="33" t="s">
        <v>44</v>
      </c>
      <c r="V177" s="96"/>
      <c r="W177" s="52" t="s">
        <v>18</v>
      </c>
      <c r="X177" s="58">
        <v>65</v>
      </c>
      <c r="Y177" s="81">
        <f t="shared" si="43"/>
        <v>119.075</v>
      </c>
      <c r="Z177" s="46" t="s">
        <v>44</v>
      </c>
      <c r="AA177" s="46" t="s">
        <v>44</v>
      </c>
      <c r="AB177" s="46" t="s">
        <v>44</v>
      </c>
      <c r="AC177" s="46" t="s">
        <v>44</v>
      </c>
      <c r="AD177" s="33" t="s">
        <v>44</v>
      </c>
    </row>
    <row r="178" spans="2:30" ht="15.75" customHeight="1">
      <c r="B178" s="96"/>
      <c r="C178" s="52" t="s">
        <v>19</v>
      </c>
      <c r="D178" s="58">
        <v>70</v>
      </c>
      <c r="E178" s="81">
        <f t="shared" si="41"/>
        <v>95.5</v>
      </c>
      <c r="F178" s="46" t="s">
        <v>44</v>
      </c>
      <c r="G178" s="46" t="s">
        <v>44</v>
      </c>
      <c r="H178" s="46" t="s">
        <v>44</v>
      </c>
      <c r="I178" s="46" t="s">
        <v>44</v>
      </c>
      <c r="J178" s="79" t="s">
        <v>44</v>
      </c>
      <c r="L178" s="96"/>
      <c r="M178" s="52" t="s">
        <v>19</v>
      </c>
      <c r="N178" s="58">
        <v>70</v>
      </c>
      <c r="O178" s="81">
        <f t="shared" si="42"/>
        <v>102.66666666666667</v>
      </c>
      <c r="P178" s="46" t="s">
        <v>44</v>
      </c>
      <c r="Q178" s="46" t="s">
        <v>44</v>
      </c>
      <c r="R178" s="46" t="s">
        <v>44</v>
      </c>
      <c r="S178" s="46" t="s">
        <v>44</v>
      </c>
      <c r="T178" s="33" t="s">
        <v>44</v>
      </c>
      <c r="V178" s="96"/>
      <c r="W178" s="52" t="s">
        <v>19</v>
      </c>
      <c r="X178" s="58">
        <v>70</v>
      </c>
      <c r="Y178" s="81">
        <f t="shared" si="43"/>
        <v>104.7</v>
      </c>
      <c r="Z178" s="46" t="s">
        <v>44</v>
      </c>
      <c r="AA178" s="46" t="s">
        <v>44</v>
      </c>
      <c r="AB178" s="46" t="s">
        <v>44</v>
      </c>
      <c r="AC178" s="46" t="s">
        <v>44</v>
      </c>
      <c r="AD178" s="33" t="s">
        <v>44</v>
      </c>
    </row>
    <row r="179" spans="2:30" ht="15.75" customHeight="1">
      <c r="B179" s="96"/>
      <c r="C179" s="52" t="s">
        <v>20</v>
      </c>
      <c r="D179" s="58">
        <v>85.5</v>
      </c>
      <c r="E179" s="81">
        <f t="shared" si="41"/>
        <v>67.5</v>
      </c>
      <c r="F179" s="46" t="s">
        <v>44</v>
      </c>
      <c r="G179" s="46" t="s">
        <v>44</v>
      </c>
      <c r="H179" s="46" t="s">
        <v>44</v>
      </c>
      <c r="I179" s="46" t="s">
        <v>44</v>
      </c>
      <c r="J179" s="79" t="s">
        <v>44</v>
      </c>
      <c r="L179" s="96"/>
      <c r="M179" s="52" t="s">
        <v>20</v>
      </c>
      <c r="N179" s="58">
        <v>85.5</v>
      </c>
      <c r="O179" s="81">
        <f t="shared" si="42"/>
        <v>87</v>
      </c>
      <c r="P179" s="46" t="s">
        <v>44</v>
      </c>
      <c r="Q179" s="46" t="s">
        <v>44</v>
      </c>
      <c r="R179" s="46" t="s">
        <v>44</v>
      </c>
      <c r="S179" s="46" t="s">
        <v>44</v>
      </c>
      <c r="T179" s="33" t="s">
        <v>44</v>
      </c>
      <c r="V179" s="96"/>
      <c r="W179" s="52" t="s">
        <v>20</v>
      </c>
      <c r="X179" s="58">
        <v>85.5</v>
      </c>
      <c r="Y179" s="81">
        <f t="shared" si="43"/>
        <v>94.5</v>
      </c>
      <c r="Z179" s="46" t="s">
        <v>44</v>
      </c>
      <c r="AA179" s="46" t="s">
        <v>44</v>
      </c>
      <c r="AB179" s="46" t="s">
        <v>44</v>
      </c>
      <c r="AC179" s="46" t="s">
        <v>44</v>
      </c>
      <c r="AD179" s="33" t="s">
        <v>44</v>
      </c>
    </row>
    <row r="180" spans="2:30" ht="15.75" customHeight="1">
      <c r="B180" s="96"/>
      <c r="C180" s="52" t="s">
        <v>21</v>
      </c>
      <c r="D180" s="55">
        <v>109.5</v>
      </c>
      <c r="E180" s="81">
        <f t="shared" si="41"/>
        <v>77.75</v>
      </c>
      <c r="F180" s="46" t="s">
        <v>44</v>
      </c>
      <c r="G180" s="46" t="s">
        <v>44</v>
      </c>
      <c r="H180" s="46" t="s">
        <v>44</v>
      </c>
      <c r="I180" s="46" t="s">
        <v>44</v>
      </c>
      <c r="J180" s="79" t="s">
        <v>44</v>
      </c>
      <c r="L180" s="96"/>
      <c r="M180" s="52" t="s">
        <v>21</v>
      </c>
      <c r="N180" s="55">
        <v>109.5</v>
      </c>
      <c r="O180" s="81">
        <f t="shared" si="42"/>
        <v>73.5</v>
      </c>
      <c r="P180" s="46" t="s">
        <v>44</v>
      </c>
      <c r="Q180" s="46" t="s">
        <v>44</v>
      </c>
      <c r="R180" s="46" t="s">
        <v>44</v>
      </c>
      <c r="S180" s="46" t="s">
        <v>44</v>
      </c>
      <c r="T180" s="33" t="s">
        <v>44</v>
      </c>
      <c r="V180" s="96"/>
      <c r="W180" s="52" t="s">
        <v>21</v>
      </c>
      <c r="X180" s="55">
        <v>109.5</v>
      </c>
      <c r="Y180" s="81">
        <f t="shared" si="43"/>
        <v>86.625</v>
      </c>
      <c r="Z180" s="46" t="s">
        <v>44</v>
      </c>
      <c r="AA180" s="46" t="s">
        <v>44</v>
      </c>
      <c r="AB180" s="46" t="s">
        <v>44</v>
      </c>
      <c r="AC180" s="46" t="s">
        <v>44</v>
      </c>
      <c r="AD180" s="33" t="s">
        <v>44</v>
      </c>
    </row>
    <row r="181" spans="2:30" ht="15.75" customHeight="1">
      <c r="B181" s="96"/>
      <c r="C181" s="52" t="s">
        <v>22</v>
      </c>
      <c r="D181" s="58">
        <v>110</v>
      </c>
      <c r="E181" s="81">
        <f t="shared" si="41"/>
        <v>97.5</v>
      </c>
      <c r="F181" s="46" t="s">
        <v>44</v>
      </c>
      <c r="G181" s="46" t="s">
        <v>44</v>
      </c>
      <c r="H181" s="46" t="s">
        <v>44</v>
      </c>
      <c r="I181" s="46" t="s">
        <v>44</v>
      </c>
      <c r="J181" s="79" t="s">
        <v>44</v>
      </c>
      <c r="L181" s="96"/>
      <c r="M181" s="52" t="s">
        <v>22</v>
      </c>
      <c r="N181" s="58">
        <v>110</v>
      </c>
      <c r="O181" s="81">
        <f t="shared" si="42"/>
        <v>88.333333333333329</v>
      </c>
      <c r="P181" s="46" t="s">
        <v>44</v>
      </c>
      <c r="Q181" s="46" t="s">
        <v>44</v>
      </c>
      <c r="R181" s="46" t="s">
        <v>44</v>
      </c>
      <c r="S181" s="46" t="s">
        <v>44</v>
      </c>
      <c r="T181" s="33" t="s">
        <v>44</v>
      </c>
      <c r="V181" s="96"/>
      <c r="W181" s="52" t="s">
        <v>22</v>
      </c>
      <c r="X181" s="58">
        <v>110</v>
      </c>
      <c r="Y181" s="81">
        <f t="shared" si="43"/>
        <v>82.5</v>
      </c>
      <c r="Z181" s="46" t="s">
        <v>44</v>
      </c>
      <c r="AA181" s="46" t="s">
        <v>44</v>
      </c>
      <c r="AB181" s="46" t="s">
        <v>44</v>
      </c>
      <c r="AC181" s="46" t="s">
        <v>44</v>
      </c>
      <c r="AD181" s="33" t="s">
        <v>44</v>
      </c>
    </row>
    <row r="182" spans="2:30" ht="15.75" customHeight="1">
      <c r="B182" s="97"/>
      <c r="C182" s="52" t="s">
        <v>23</v>
      </c>
      <c r="D182" s="55">
        <v>151.5</v>
      </c>
      <c r="E182" s="81">
        <f t="shared" si="41"/>
        <v>109.75</v>
      </c>
      <c r="F182" s="46" t="s">
        <v>44</v>
      </c>
      <c r="G182" s="46" t="s">
        <v>44</v>
      </c>
      <c r="H182" s="46" t="s">
        <v>44</v>
      </c>
      <c r="I182" s="46" t="s">
        <v>44</v>
      </c>
      <c r="J182" s="79" t="s">
        <v>44</v>
      </c>
      <c r="L182" s="97"/>
      <c r="M182" s="52" t="s">
        <v>23</v>
      </c>
      <c r="N182" s="55">
        <v>151.5</v>
      </c>
      <c r="O182" s="81">
        <f t="shared" si="42"/>
        <v>101.66666666666667</v>
      </c>
      <c r="P182" s="46" t="s">
        <v>44</v>
      </c>
      <c r="Q182" s="46" t="s">
        <v>44</v>
      </c>
      <c r="R182" s="46" t="s">
        <v>44</v>
      </c>
      <c r="S182" s="46" t="s">
        <v>44</v>
      </c>
      <c r="T182" s="33" t="s">
        <v>44</v>
      </c>
      <c r="V182" s="97"/>
      <c r="W182" s="52" t="s">
        <v>23</v>
      </c>
      <c r="X182" s="55">
        <v>151.5</v>
      </c>
      <c r="Y182" s="81">
        <f t="shared" si="43"/>
        <v>93.75</v>
      </c>
      <c r="Z182" s="46" t="s">
        <v>44</v>
      </c>
      <c r="AA182" s="46" t="s">
        <v>44</v>
      </c>
      <c r="AB182" s="46" t="s">
        <v>44</v>
      </c>
      <c r="AC182" s="46" t="s">
        <v>44</v>
      </c>
      <c r="AD182" s="33" t="s">
        <v>44</v>
      </c>
    </row>
    <row r="183" spans="2:30" ht="15.75" customHeight="1">
      <c r="E183" s="66"/>
      <c r="Y183" s="5"/>
    </row>
    <row r="184" spans="2:30" ht="15.75" customHeight="1">
      <c r="C184" s="48"/>
      <c r="D184" s="48"/>
      <c r="E184" s="66"/>
      <c r="Y184" s="5"/>
    </row>
    <row r="185" spans="2:30" ht="15.75" customHeight="1">
      <c r="C185" s="5" t="s">
        <v>35</v>
      </c>
      <c r="D185" s="5">
        <v>713.5</v>
      </c>
      <c r="E185" s="67">
        <v>34</v>
      </c>
      <c r="F185" s="3">
        <f t="shared" ref="F185:F187" si="44">D185/E185</f>
        <v>20.985294117647058</v>
      </c>
      <c r="M185" s="5" t="s">
        <v>35</v>
      </c>
      <c r="N185" s="5">
        <v>635.9</v>
      </c>
      <c r="O185" s="5">
        <v>33</v>
      </c>
      <c r="P185" s="3">
        <f t="shared" ref="P185:P187" si="45">SUM(N185/O185)</f>
        <v>19.26969696969697</v>
      </c>
      <c r="Y185" s="5" t="s">
        <v>35</v>
      </c>
      <c r="Z185" s="59">
        <v>645.53</v>
      </c>
      <c r="AA185" s="5">
        <v>32</v>
      </c>
      <c r="AB185" s="3">
        <f>SUM(Z185/AA185)</f>
        <v>20.172812499999999</v>
      </c>
    </row>
    <row r="186" spans="2:30" ht="15.75" customHeight="1">
      <c r="C186" s="5" t="s">
        <v>6</v>
      </c>
      <c r="D186" s="5">
        <v>25200.3</v>
      </c>
      <c r="E186" s="67">
        <v>34</v>
      </c>
      <c r="F186" s="3">
        <f t="shared" si="44"/>
        <v>741.185294117647</v>
      </c>
      <c r="M186" s="5" t="s">
        <v>46</v>
      </c>
      <c r="N186" s="5">
        <v>18809.7</v>
      </c>
      <c r="O186" s="5">
        <v>33</v>
      </c>
      <c r="P186" s="3">
        <f t="shared" si="45"/>
        <v>569.9909090909091</v>
      </c>
      <c r="Y186" s="5" t="s">
        <v>6</v>
      </c>
      <c r="Z186" s="5">
        <v>18643.169999999998</v>
      </c>
      <c r="AA186" s="5">
        <v>32</v>
      </c>
      <c r="AB186" s="3">
        <f t="shared" ref="AB186:AB187" si="46">Z186/AA186</f>
        <v>582.59906249999995</v>
      </c>
    </row>
    <row r="187" spans="2:30" ht="15.75" customHeight="1">
      <c r="C187" s="5" t="s">
        <v>7</v>
      </c>
      <c r="D187" s="5">
        <v>666.6</v>
      </c>
      <c r="E187" s="67">
        <v>34</v>
      </c>
      <c r="F187" s="3">
        <f t="shared" si="44"/>
        <v>19.605882352941176</v>
      </c>
      <c r="M187" s="5" t="s">
        <v>7</v>
      </c>
      <c r="N187" s="5">
        <v>601.16</v>
      </c>
      <c r="O187" s="5">
        <v>33</v>
      </c>
      <c r="P187" s="3">
        <f t="shared" si="45"/>
        <v>18.216969696969695</v>
      </c>
      <c r="Y187" s="5" t="s">
        <v>7</v>
      </c>
      <c r="Z187" s="5">
        <v>611.99</v>
      </c>
      <c r="AA187" s="5">
        <v>32</v>
      </c>
      <c r="AB187" s="3">
        <f t="shared" si="46"/>
        <v>19.1246875</v>
      </c>
      <c r="AC187" s="5"/>
      <c r="AD187" s="5"/>
    </row>
    <row r="188" spans="2:30" ht="15.75" customHeight="1">
      <c r="C188" s="82"/>
      <c r="E188" s="66"/>
      <c r="AB188" s="3"/>
    </row>
    <row r="189" spans="2:30" ht="15.75" customHeight="1">
      <c r="C189" s="82"/>
      <c r="E189" s="66"/>
      <c r="AC189" s="5"/>
    </row>
    <row r="190" spans="2:30" ht="15.75" customHeight="1">
      <c r="C190" s="82"/>
      <c r="E190" s="66"/>
    </row>
    <row r="191" spans="2:30" ht="15.75" customHeight="1">
      <c r="C191" s="82"/>
      <c r="E191" s="66"/>
    </row>
    <row r="192" spans="2:30" ht="15.75" customHeight="1">
      <c r="C192" s="82"/>
      <c r="E192" s="66"/>
    </row>
    <row r="193" spans="2:39" ht="15.75" customHeight="1">
      <c r="C193" s="82"/>
      <c r="E193" s="66"/>
    </row>
    <row r="194" spans="2:39" ht="15.75" customHeight="1">
      <c r="C194" s="82"/>
      <c r="E194" s="66"/>
    </row>
    <row r="195" spans="2:39" ht="15.75" customHeight="1">
      <c r="C195" s="82"/>
      <c r="E195" s="66"/>
    </row>
    <row r="196" spans="2:39" ht="15.75" customHeight="1">
      <c r="C196" s="82"/>
      <c r="E196" s="66"/>
    </row>
    <row r="197" spans="2:39" ht="15.75" customHeight="1">
      <c r="E197" s="66"/>
    </row>
    <row r="198" spans="2:39" ht="15.75" customHeight="1">
      <c r="E198" s="66"/>
    </row>
    <row r="199" spans="2:39" ht="15.75" customHeight="1">
      <c r="E199" s="66"/>
    </row>
    <row r="200" spans="2:39" ht="15.75" customHeight="1">
      <c r="E200" s="66"/>
    </row>
    <row r="201" spans="2:39" ht="15.75" customHeight="1">
      <c r="E201" s="66"/>
    </row>
    <row r="202" spans="2:39" ht="15.75" customHeight="1">
      <c r="E202" s="66"/>
    </row>
    <row r="203" spans="2:39" ht="15.75" customHeight="1">
      <c r="B203" s="58" t="s">
        <v>47</v>
      </c>
      <c r="C203" s="58">
        <v>0.2</v>
      </c>
      <c r="E203" s="66"/>
      <c r="L203" s="58" t="s">
        <v>47</v>
      </c>
      <c r="M203" s="58">
        <v>0.25</v>
      </c>
      <c r="N203" s="5"/>
      <c r="V203" s="58" t="s">
        <v>47</v>
      </c>
      <c r="W203" s="58">
        <v>0.3</v>
      </c>
    </row>
    <row r="204" spans="2:39" ht="15.75" customHeight="1">
      <c r="E204" s="66"/>
      <c r="AI204" s="11" t="s">
        <v>37</v>
      </c>
    </row>
    <row r="205" spans="2:39" ht="15.75" customHeight="1">
      <c r="B205" s="100" t="s">
        <v>3</v>
      </c>
      <c r="C205" s="101"/>
      <c r="D205" s="101"/>
      <c r="E205" s="101"/>
      <c r="F205" s="101"/>
      <c r="G205" s="101"/>
      <c r="H205" s="101"/>
      <c r="I205" s="101"/>
      <c r="J205" s="102"/>
      <c r="L205" s="100" t="s">
        <v>3</v>
      </c>
      <c r="M205" s="101"/>
      <c r="N205" s="101"/>
      <c r="O205" s="101"/>
      <c r="P205" s="101"/>
      <c r="Q205" s="101"/>
      <c r="R205" s="101"/>
      <c r="S205" s="101"/>
      <c r="T205" s="102"/>
      <c r="V205" s="100" t="s">
        <v>3</v>
      </c>
      <c r="W205" s="101"/>
      <c r="X205" s="101"/>
      <c r="Y205" s="101"/>
      <c r="Z205" s="101"/>
      <c r="AA205" s="101"/>
      <c r="AB205" s="101"/>
      <c r="AC205" s="101"/>
      <c r="AD205" s="102"/>
    </row>
    <row r="206" spans="2:39" ht="75">
      <c r="B206" s="24" t="s">
        <v>11</v>
      </c>
      <c r="C206" s="24" t="s">
        <v>25</v>
      </c>
      <c r="D206" s="25" t="s">
        <v>26</v>
      </c>
      <c r="E206" s="26" t="s">
        <v>27</v>
      </c>
      <c r="F206" s="25" t="s">
        <v>28</v>
      </c>
      <c r="G206" s="25" t="s">
        <v>29</v>
      </c>
      <c r="H206" s="27" t="s">
        <v>30</v>
      </c>
      <c r="I206" s="25" t="s">
        <v>31</v>
      </c>
      <c r="J206" s="25" t="s">
        <v>32</v>
      </c>
      <c r="L206" s="24" t="s">
        <v>11</v>
      </c>
      <c r="M206" s="24" t="s">
        <v>25</v>
      </c>
      <c r="N206" s="25" t="s">
        <v>26</v>
      </c>
      <c r="O206" s="68" t="s">
        <v>27</v>
      </c>
      <c r="P206" s="25" t="s">
        <v>28</v>
      </c>
      <c r="Q206" s="25" t="s">
        <v>29</v>
      </c>
      <c r="R206" s="27" t="s">
        <v>30</v>
      </c>
      <c r="S206" s="25" t="s">
        <v>31</v>
      </c>
      <c r="T206" s="25" t="s">
        <v>32</v>
      </c>
      <c r="V206" s="24" t="s">
        <v>11</v>
      </c>
      <c r="W206" s="24" t="s">
        <v>25</v>
      </c>
      <c r="X206" s="25" t="s">
        <v>26</v>
      </c>
      <c r="Y206" s="68" t="s">
        <v>27</v>
      </c>
      <c r="Z206" s="25" t="s">
        <v>28</v>
      </c>
      <c r="AA206" s="25" t="s">
        <v>29</v>
      </c>
      <c r="AB206" s="27" t="s">
        <v>30</v>
      </c>
      <c r="AC206" s="25" t="s">
        <v>31</v>
      </c>
      <c r="AD206" s="25" t="s">
        <v>32</v>
      </c>
      <c r="AH206" s="24" t="s">
        <v>11</v>
      </c>
      <c r="AI206" s="24" t="s">
        <v>25</v>
      </c>
      <c r="AJ206" s="25" t="s">
        <v>26</v>
      </c>
      <c r="AK206" s="27" t="s">
        <v>48</v>
      </c>
      <c r="AL206" s="27" t="s">
        <v>49</v>
      </c>
      <c r="AM206" s="27" t="s">
        <v>50</v>
      </c>
    </row>
    <row r="207" spans="2:39" ht="15.75" customHeight="1">
      <c r="B207" s="103">
        <v>2021</v>
      </c>
      <c r="C207" s="28" t="s">
        <v>12</v>
      </c>
      <c r="D207" s="29">
        <v>98.2</v>
      </c>
      <c r="E207" s="30" t="s">
        <v>44</v>
      </c>
      <c r="F207" s="31" t="s">
        <v>44</v>
      </c>
      <c r="G207" s="31" t="s">
        <v>44</v>
      </c>
      <c r="H207" s="31" t="s">
        <v>44</v>
      </c>
      <c r="I207" s="31" t="s">
        <v>44</v>
      </c>
      <c r="J207" s="31" t="s">
        <v>44</v>
      </c>
      <c r="L207" s="103">
        <v>2021</v>
      </c>
      <c r="M207" s="28" t="s">
        <v>12</v>
      </c>
      <c r="N207" s="29">
        <v>98.2</v>
      </c>
      <c r="O207" s="31" t="s">
        <v>44</v>
      </c>
      <c r="P207" s="31" t="s">
        <v>44</v>
      </c>
      <c r="Q207" s="31" t="s">
        <v>44</v>
      </c>
      <c r="R207" s="31" t="s">
        <v>44</v>
      </c>
      <c r="S207" s="31" t="s">
        <v>44</v>
      </c>
      <c r="T207" s="31" t="s">
        <v>44</v>
      </c>
      <c r="V207" s="103">
        <v>2021</v>
      </c>
      <c r="W207" s="28" t="s">
        <v>12</v>
      </c>
      <c r="X207" s="29">
        <v>98.2</v>
      </c>
      <c r="Y207" s="31" t="s">
        <v>44</v>
      </c>
      <c r="Z207" s="31" t="s">
        <v>44</v>
      </c>
      <c r="AA207" s="31" t="s">
        <v>44</v>
      </c>
      <c r="AB207" s="31" t="s">
        <v>44</v>
      </c>
      <c r="AC207" s="31" t="s">
        <v>44</v>
      </c>
      <c r="AD207" s="31" t="s">
        <v>44</v>
      </c>
      <c r="AH207" s="103">
        <v>2021</v>
      </c>
      <c r="AI207" s="28" t="s">
        <v>12</v>
      </c>
      <c r="AJ207" s="62">
        <v>98.2</v>
      </c>
      <c r="AK207" s="30">
        <v>0</v>
      </c>
      <c r="AL207" s="30">
        <v>0</v>
      </c>
      <c r="AM207" s="30">
        <v>0</v>
      </c>
    </row>
    <row r="208" spans="2:39" ht="15.75" customHeight="1">
      <c r="B208" s="96"/>
      <c r="C208" s="28" t="s">
        <v>13</v>
      </c>
      <c r="D208" s="29">
        <v>72.8</v>
      </c>
      <c r="E208" s="83">
        <v>98.2</v>
      </c>
      <c r="F208" s="30">
        <f t="shared" ref="F208:F242" si="47">D208-E208</f>
        <v>-25.400000000000006</v>
      </c>
      <c r="G208" s="30">
        <f t="shared" ref="G208:G242" si="48">ABS(F208)</f>
        <v>25.400000000000006</v>
      </c>
      <c r="H208" s="30">
        <f t="shared" ref="H208:H242" si="49">F208^2</f>
        <v>645.16000000000031</v>
      </c>
      <c r="I208" s="70">
        <f t="shared" ref="I208:I242" si="50">(F208/D208)*100</f>
        <v>-34.890109890109898</v>
      </c>
      <c r="J208" s="74">
        <f t="shared" ref="J208:J242" si="51">ABS(I208)</f>
        <v>34.890109890109898</v>
      </c>
      <c r="L208" s="96"/>
      <c r="M208" s="28" t="s">
        <v>13</v>
      </c>
      <c r="N208" s="29">
        <v>72.8</v>
      </c>
      <c r="O208" s="83">
        <v>98.2</v>
      </c>
      <c r="P208" s="30">
        <f t="shared" ref="P208:P242" si="52">N208-O208</f>
        <v>-25.400000000000006</v>
      </c>
      <c r="Q208" s="30">
        <f t="shared" ref="Q208:Q242" si="53">ABS(P208)</f>
        <v>25.400000000000006</v>
      </c>
      <c r="R208" s="30">
        <f t="shared" ref="R208:R242" si="54">P208^2</f>
        <v>645.16000000000031</v>
      </c>
      <c r="S208" s="70">
        <f t="shared" ref="S208:S242" si="55">(P208/N208)*100</f>
        <v>-34.890109890109898</v>
      </c>
      <c r="T208" s="74">
        <f t="shared" ref="T208:T242" si="56">ABS(S208)</f>
        <v>34.890109890109898</v>
      </c>
      <c r="V208" s="96"/>
      <c r="W208" s="28" t="s">
        <v>13</v>
      </c>
      <c r="X208" s="29">
        <v>72.8</v>
      </c>
      <c r="Y208" s="83">
        <v>98.2</v>
      </c>
      <c r="Z208" s="30">
        <f t="shared" ref="Z208:Z242" si="57">X208-Y208</f>
        <v>-25.400000000000006</v>
      </c>
      <c r="AA208" s="30">
        <f t="shared" ref="AA208:AA242" si="58">ABS(Z208)</f>
        <v>25.400000000000006</v>
      </c>
      <c r="AB208" s="30">
        <f t="shared" ref="AB208:AB242" si="59">Z208^2</f>
        <v>645.16000000000031</v>
      </c>
      <c r="AC208" s="70">
        <f t="shared" ref="AC208:AC242" si="60">(Z208/X208)*100</f>
        <v>-34.890109890109898</v>
      </c>
      <c r="AD208" s="74">
        <f t="shared" ref="AD208:AD242" si="61">ABS(AC208)</f>
        <v>34.890109890109898</v>
      </c>
      <c r="AH208" s="96"/>
      <c r="AI208" s="28" t="s">
        <v>13</v>
      </c>
      <c r="AJ208" s="62">
        <v>72.8</v>
      </c>
      <c r="AK208" s="79">
        <v>98.2</v>
      </c>
      <c r="AL208" s="94">
        <v>98.2</v>
      </c>
      <c r="AM208" s="94">
        <v>98.2</v>
      </c>
    </row>
    <row r="209" spans="2:39" ht="15.75" customHeight="1">
      <c r="B209" s="96"/>
      <c r="C209" s="28" t="s">
        <v>14</v>
      </c>
      <c r="D209" s="29">
        <v>119.4</v>
      </c>
      <c r="E209" s="83">
        <f t="shared" ref="E209:E242" si="62">($C$203*D208)+((1-$C$203)*E208)</f>
        <v>93.12</v>
      </c>
      <c r="F209" s="30">
        <f t="shared" si="47"/>
        <v>26.28</v>
      </c>
      <c r="G209" s="30">
        <f t="shared" si="48"/>
        <v>26.28</v>
      </c>
      <c r="H209" s="30">
        <f t="shared" si="49"/>
        <v>690.63840000000005</v>
      </c>
      <c r="I209" s="70">
        <f t="shared" si="50"/>
        <v>22.010050251256281</v>
      </c>
      <c r="J209" s="74">
        <f t="shared" si="51"/>
        <v>22.010050251256281</v>
      </c>
      <c r="L209" s="96"/>
      <c r="M209" s="28" t="s">
        <v>14</v>
      </c>
      <c r="N209" s="29">
        <v>119.4</v>
      </c>
      <c r="O209" s="83">
        <f t="shared" ref="O209:O242" si="63">($M$203*N208)+((1-$M$203)*O208)</f>
        <v>91.850000000000009</v>
      </c>
      <c r="P209" s="30">
        <f t="shared" si="52"/>
        <v>27.549999999999997</v>
      </c>
      <c r="Q209" s="30">
        <f t="shared" si="53"/>
        <v>27.549999999999997</v>
      </c>
      <c r="R209" s="30">
        <f t="shared" si="54"/>
        <v>759.00249999999983</v>
      </c>
      <c r="S209" s="70">
        <f t="shared" si="55"/>
        <v>23.073701842546061</v>
      </c>
      <c r="T209" s="74">
        <f t="shared" si="56"/>
        <v>23.073701842546061</v>
      </c>
      <c r="V209" s="96"/>
      <c r="W209" s="28" t="s">
        <v>14</v>
      </c>
      <c r="X209" s="29">
        <v>119.4</v>
      </c>
      <c r="Y209" s="83">
        <f t="shared" ref="Y209:Y242" si="64">($W$203*X208)+((1-$W$203)*Y208)</f>
        <v>90.58</v>
      </c>
      <c r="Z209" s="30">
        <f t="shared" si="57"/>
        <v>28.820000000000007</v>
      </c>
      <c r="AA209" s="30">
        <f t="shared" si="58"/>
        <v>28.820000000000007</v>
      </c>
      <c r="AB209" s="30">
        <f t="shared" si="59"/>
        <v>830.59240000000045</v>
      </c>
      <c r="AC209" s="70">
        <f t="shared" si="60"/>
        <v>24.137353433835852</v>
      </c>
      <c r="AD209" s="74">
        <f t="shared" si="61"/>
        <v>24.137353433835852</v>
      </c>
      <c r="AH209" s="96"/>
      <c r="AI209" s="28" t="s">
        <v>14</v>
      </c>
      <c r="AJ209" s="62">
        <v>119.4</v>
      </c>
      <c r="AK209" s="79">
        <v>93.12</v>
      </c>
      <c r="AL209" s="94">
        <f t="shared" ref="AL209:AL242" si="65">($M$203*AK208)+((1-$M$203)*AL208)</f>
        <v>98.2</v>
      </c>
      <c r="AM209" s="94">
        <f t="shared" ref="AM209:AM242" si="66">($W$203*AL208)+((1-$W$203)*AM208)</f>
        <v>98.199999999999989</v>
      </c>
    </row>
    <row r="210" spans="2:39" ht="15.75" customHeight="1">
      <c r="B210" s="96"/>
      <c r="C210" s="28" t="s">
        <v>15</v>
      </c>
      <c r="D210" s="37">
        <v>107.5</v>
      </c>
      <c r="E210" s="83">
        <f t="shared" si="62"/>
        <v>98.376000000000005</v>
      </c>
      <c r="F210" s="31">
        <f t="shared" si="47"/>
        <v>9.1239999999999952</v>
      </c>
      <c r="G210" s="30">
        <f t="shared" si="48"/>
        <v>9.1239999999999952</v>
      </c>
      <c r="H210" s="30">
        <f t="shared" si="49"/>
        <v>83.247375999999917</v>
      </c>
      <c r="I210" s="70">
        <f t="shared" si="50"/>
        <v>8.4874418604651112</v>
      </c>
      <c r="J210" s="74">
        <f t="shared" si="51"/>
        <v>8.4874418604651112</v>
      </c>
      <c r="L210" s="96"/>
      <c r="M210" s="28" t="s">
        <v>15</v>
      </c>
      <c r="N210" s="37">
        <v>107.5</v>
      </c>
      <c r="O210" s="83">
        <f t="shared" si="63"/>
        <v>98.737500000000011</v>
      </c>
      <c r="P210" s="31">
        <f t="shared" si="52"/>
        <v>8.7624999999999886</v>
      </c>
      <c r="Q210" s="30">
        <f t="shared" si="53"/>
        <v>8.7624999999999886</v>
      </c>
      <c r="R210" s="30">
        <f t="shared" si="54"/>
        <v>76.781406249999804</v>
      </c>
      <c r="S210" s="70">
        <f t="shared" si="55"/>
        <v>8.1511627906976631</v>
      </c>
      <c r="T210" s="74">
        <f t="shared" si="56"/>
        <v>8.1511627906976631</v>
      </c>
      <c r="V210" s="96"/>
      <c r="W210" s="28" t="s">
        <v>15</v>
      </c>
      <c r="X210" s="37">
        <v>107.5</v>
      </c>
      <c r="Y210" s="83">
        <f t="shared" si="64"/>
        <v>99.225999999999999</v>
      </c>
      <c r="Z210" s="31">
        <f t="shared" si="57"/>
        <v>8.2740000000000009</v>
      </c>
      <c r="AA210" s="30">
        <f t="shared" si="58"/>
        <v>8.2740000000000009</v>
      </c>
      <c r="AB210" s="30">
        <f t="shared" si="59"/>
        <v>68.45907600000001</v>
      </c>
      <c r="AC210" s="70">
        <f t="shared" si="60"/>
        <v>7.6967441860465131</v>
      </c>
      <c r="AD210" s="74">
        <f t="shared" si="61"/>
        <v>7.6967441860465131</v>
      </c>
      <c r="AH210" s="96"/>
      <c r="AI210" s="28" t="s">
        <v>15</v>
      </c>
      <c r="AJ210" s="72">
        <v>107.5</v>
      </c>
      <c r="AK210" s="79">
        <v>98.376000000000005</v>
      </c>
      <c r="AL210" s="94">
        <f t="shared" si="65"/>
        <v>96.93</v>
      </c>
      <c r="AM210" s="94">
        <f t="shared" si="66"/>
        <v>98.199999999999989</v>
      </c>
    </row>
    <row r="211" spans="2:39" ht="15.75" customHeight="1">
      <c r="B211" s="96"/>
      <c r="C211" s="28" t="s">
        <v>16</v>
      </c>
      <c r="D211" s="29">
        <v>115.8</v>
      </c>
      <c r="E211" s="83">
        <f t="shared" si="62"/>
        <v>100.20080000000002</v>
      </c>
      <c r="F211" s="30">
        <f t="shared" si="47"/>
        <v>15.599199999999982</v>
      </c>
      <c r="G211" s="30">
        <f t="shared" si="48"/>
        <v>15.599199999999982</v>
      </c>
      <c r="H211" s="30">
        <f t="shared" si="49"/>
        <v>243.33504063999945</v>
      </c>
      <c r="I211" s="70">
        <f t="shared" si="50"/>
        <v>13.470811744386859</v>
      </c>
      <c r="J211" s="74">
        <f t="shared" si="51"/>
        <v>13.470811744386859</v>
      </c>
      <c r="L211" s="96"/>
      <c r="M211" s="28" t="s">
        <v>16</v>
      </c>
      <c r="N211" s="29">
        <v>115.8</v>
      </c>
      <c r="O211" s="83">
        <f t="shared" si="63"/>
        <v>100.92812500000001</v>
      </c>
      <c r="P211" s="30">
        <f t="shared" si="52"/>
        <v>14.871874999999989</v>
      </c>
      <c r="Q211" s="30">
        <f t="shared" si="53"/>
        <v>14.871874999999989</v>
      </c>
      <c r="R211" s="30">
        <f t="shared" si="54"/>
        <v>221.17266601562466</v>
      </c>
      <c r="S211" s="70">
        <f t="shared" si="55"/>
        <v>12.842724525043167</v>
      </c>
      <c r="T211" s="74">
        <f t="shared" si="56"/>
        <v>12.842724525043167</v>
      </c>
      <c r="V211" s="96"/>
      <c r="W211" s="28" t="s">
        <v>16</v>
      </c>
      <c r="X211" s="29">
        <v>115.8</v>
      </c>
      <c r="Y211" s="83">
        <f t="shared" si="64"/>
        <v>101.70819999999999</v>
      </c>
      <c r="Z211" s="30">
        <f t="shared" si="57"/>
        <v>14.091800000000006</v>
      </c>
      <c r="AA211" s="30">
        <f t="shared" si="58"/>
        <v>14.091800000000006</v>
      </c>
      <c r="AB211" s="30">
        <f t="shared" si="59"/>
        <v>198.57882724000018</v>
      </c>
      <c r="AC211" s="70">
        <f t="shared" si="60"/>
        <v>12.169084628670127</v>
      </c>
      <c r="AD211" s="74">
        <f t="shared" si="61"/>
        <v>12.169084628670127</v>
      </c>
      <c r="AH211" s="96"/>
      <c r="AI211" s="28" t="s">
        <v>16</v>
      </c>
      <c r="AJ211" s="62">
        <v>115.8</v>
      </c>
      <c r="AK211" s="79">
        <v>100.20080000000002</v>
      </c>
      <c r="AL211" s="94">
        <f t="shared" si="65"/>
        <v>97.291500000000013</v>
      </c>
      <c r="AM211" s="94">
        <f t="shared" si="66"/>
        <v>97.818999999999988</v>
      </c>
    </row>
    <row r="212" spans="2:39" ht="15.75" customHeight="1">
      <c r="B212" s="96"/>
      <c r="C212" s="28" t="s">
        <v>17</v>
      </c>
      <c r="D212" s="29">
        <v>123.7</v>
      </c>
      <c r="E212" s="83">
        <f t="shared" si="62"/>
        <v>103.32064000000001</v>
      </c>
      <c r="F212" s="30">
        <f t="shared" si="47"/>
        <v>20.379359999999991</v>
      </c>
      <c r="G212" s="30">
        <f t="shared" si="48"/>
        <v>20.379359999999991</v>
      </c>
      <c r="H212" s="30">
        <f t="shared" si="49"/>
        <v>415.31831400959965</v>
      </c>
      <c r="I212" s="70">
        <f t="shared" si="50"/>
        <v>16.474826192400961</v>
      </c>
      <c r="J212" s="74">
        <f t="shared" si="51"/>
        <v>16.474826192400961</v>
      </c>
      <c r="L212" s="96"/>
      <c r="M212" s="28" t="s">
        <v>17</v>
      </c>
      <c r="N212" s="29">
        <v>123.7</v>
      </c>
      <c r="O212" s="83">
        <f t="shared" si="63"/>
        <v>104.64609375000001</v>
      </c>
      <c r="P212" s="30">
        <f t="shared" si="52"/>
        <v>19.053906249999997</v>
      </c>
      <c r="Q212" s="30">
        <f t="shared" si="53"/>
        <v>19.053906249999997</v>
      </c>
      <c r="R212" s="30">
        <f t="shared" si="54"/>
        <v>363.05134338378895</v>
      </c>
      <c r="S212" s="70">
        <f t="shared" si="55"/>
        <v>15.40331952303961</v>
      </c>
      <c r="T212" s="74">
        <f t="shared" si="56"/>
        <v>15.40331952303961</v>
      </c>
      <c r="V212" s="96"/>
      <c r="W212" s="28" t="s">
        <v>17</v>
      </c>
      <c r="X212" s="29">
        <v>123.7</v>
      </c>
      <c r="Y212" s="83">
        <f t="shared" si="64"/>
        <v>105.93573999999998</v>
      </c>
      <c r="Z212" s="30">
        <f t="shared" si="57"/>
        <v>17.764260000000021</v>
      </c>
      <c r="AA212" s="30">
        <f t="shared" si="58"/>
        <v>17.764260000000021</v>
      </c>
      <c r="AB212" s="30">
        <f t="shared" si="59"/>
        <v>315.56893334760076</v>
      </c>
      <c r="AC212" s="70">
        <f t="shared" si="60"/>
        <v>14.360759902991123</v>
      </c>
      <c r="AD212" s="74">
        <f t="shared" si="61"/>
        <v>14.360759902991123</v>
      </c>
      <c r="AH212" s="96"/>
      <c r="AI212" s="28" t="s">
        <v>17</v>
      </c>
      <c r="AJ212" s="62">
        <v>123.7</v>
      </c>
      <c r="AK212" s="79">
        <v>103.32064000000001</v>
      </c>
      <c r="AL212" s="94">
        <f t="shared" si="65"/>
        <v>98.018825000000007</v>
      </c>
      <c r="AM212" s="94">
        <f t="shared" si="66"/>
        <v>97.660749999999979</v>
      </c>
    </row>
    <row r="213" spans="2:39" ht="15.75" customHeight="1">
      <c r="B213" s="96"/>
      <c r="C213" s="28" t="s">
        <v>18</v>
      </c>
      <c r="D213" s="37">
        <v>139.5</v>
      </c>
      <c r="E213" s="83">
        <f t="shared" si="62"/>
        <v>107.39651200000003</v>
      </c>
      <c r="F213" s="31">
        <f t="shared" si="47"/>
        <v>32.10348799999997</v>
      </c>
      <c r="G213" s="30">
        <f t="shared" si="48"/>
        <v>32.10348799999997</v>
      </c>
      <c r="H213" s="30">
        <f t="shared" si="49"/>
        <v>1030.633941766142</v>
      </c>
      <c r="I213" s="70">
        <f t="shared" si="50"/>
        <v>23.013253046594961</v>
      </c>
      <c r="J213" s="74">
        <f t="shared" si="51"/>
        <v>23.013253046594961</v>
      </c>
      <c r="L213" s="96"/>
      <c r="M213" s="28" t="s">
        <v>18</v>
      </c>
      <c r="N213" s="37">
        <v>139.5</v>
      </c>
      <c r="O213" s="83">
        <f t="shared" si="63"/>
        <v>109.40957031250001</v>
      </c>
      <c r="P213" s="31">
        <f t="shared" si="52"/>
        <v>30.090429687499991</v>
      </c>
      <c r="Q213" s="30">
        <f t="shared" si="53"/>
        <v>30.090429687499991</v>
      </c>
      <c r="R213" s="30">
        <f t="shared" si="54"/>
        <v>905.43395877838088</v>
      </c>
      <c r="S213" s="70">
        <f t="shared" si="55"/>
        <v>21.570200492831535</v>
      </c>
      <c r="T213" s="74">
        <f t="shared" si="56"/>
        <v>21.570200492831535</v>
      </c>
      <c r="V213" s="96"/>
      <c r="W213" s="28" t="s">
        <v>18</v>
      </c>
      <c r="X213" s="37">
        <v>139.5</v>
      </c>
      <c r="Y213" s="83">
        <f t="shared" si="64"/>
        <v>111.26501799999998</v>
      </c>
      <c r="Z213" s="31">
        <f t="shared" si="57"/>
        <v>28.234982000000016</v>
      </c>
      <c r="AA213" s="30">
        <f t="shared" si="58"/>
        <v>28.234982000000016</v>
      </c>
      <c r="AB213" s="30">
        <f t="shared" si="59"/>
        <v>797.21420854032488</v>
      </c>
      <c r="AC213" s="70">
        <f t="shared" si="60"/>
        <v>20.240130465949832</v>
      </c>
      <c r="AD213" s="74">
        <f t="shared" si="61"/>
        <v>20.240130465949832</v>
      </c>
      <c r="AH213" s="96"/>
      <c r="AI213" s="28" t="s">
        <v>18</v>
      </c>
      <c r="AJ213" s="72">
        <v>139.5</v>
      </c>
      <c r="AK213" s="79">
        <v>107.39651200000003</v>
      </c>
      <c r="AL213" s="94">
        <f t="shared" si="65"/>
        <v>99.344278750000015</v>
      </c>
      <c r="AM213" s="94">
        <f t="shared" si="66"/>
        <v>97.768172499999977</v>
      </c>
    </row>
    <row r="214" spans="2:39" ht="15.75" customHeight="1">
      <c r="B214" s="96"/>
      <c r="C214" s="28" t="s">
        <v>19</v>
      </c>
      <c r="D214" s="29">
        <v>129.80000000000001</v>
      </c>
      <c r="E214" s="83">
        <f t="shared" si="62"/>
        <v>113.81720960000004</v>
      </c>
      <c r="F214" s="30">
        <f t="shared" si="47"/>
        <v>15.982790399999971</v>
      </c>
      <c r="G214" s="30">
        <f t="shared" si="48"/>
        <v>15.982790399999971</v>
      </c>
      <c r="H214" s="30">
        <f t="shared" si="49"/>
        <v>255.44958897033121</v>
      </c>
      <c r="I214" s="70">
        <f t="shared" si="50"/>
        <v>12.313397842835107</v>
      </c>
      <c r="J214" s="74">
        <f t="shared" si="51"/>
        <v>12.313397842835107</v>
      </c>
      <c r="L214" s="96"/>
      <c r="M214" s="28" t="s">
        <v>19</v>
      </c>
      <c r="N214" s="29">
        <v>129.80000000000001</v>
      </c>
      <c r="O214" s="83">
        <f t="shared" si="63"/>
        <v>116.932177734375</v>
      </c>
      <c r="P214" s="30">
        <f t="shared" si="52"/>
        <v>12.867822265625009</v>
      </c>
      <c r="Q214" s="30">
        <f t="shared" si="53"/>
        <v>12.867822265625009</v>
      </c>
      <c r="R214" s="30">
        <f t="shared" si="54"/>
        <v>165.58084985971473</v>
      </c>
      <c r="S214" s="70">
        <f t="shared" si="55"/>
        <v>9.9135764758282043</v>
      </c>
      <c r="T214" s="74">
        <f t="shared" si="56"/>
        <v>9.9135764758282043</v>
      </c>
      <c r="V214" s="96"/>
      <c r="W214" s="28" t="s">
        <v>19</v>
      </c>
      <c r="X214" s="29">
        <v>129.80000000000001</v>
      </c>
      <c r="Y214" s="83">
        <f t="shared" si="64"/>
        <v>119.73551259999999</v>
      </c>
      <c r="Z214" s="30">
        <f t="shared" si="57"/>
        <v>10.064487400000019</v>
      </c>
      <c r="AA214" s="30">
        <f t="shared" si="58"/>
        <v>10.064487400000019</v>
      </c>
      <c r="AB214" s="30">
        <f t="shared" si="59"/>
        <v>101.29390662475913</v>
      </c>
      <c r="AC214" s="70">
        <f t="shared" si="60"/>
        <v>7.7538423728813699</v>
      </c>
      <c r="AD214" s="74">
        <f t="shared" si="61"/>
        <v>7.7538423728813699</v>
      </c>
      <c r="AH214" s="96"/>
      <c r="AI214" s="28" t="s">
        <v>19</v>
      </c>
      <c r="AJ214" s="62">
        <v>129.80000000000001</v>
      </c>
      <c r="AK214" s="79">
        <v>113.81720960000004</v>
      </c>
      <c r="AL214" s="94">
        <f t="shared" si="65"/>
        <v>101.35733706250002</v>
      </c>
      <c r="AM214" s="94">
        <f t="shared" si="66"/>
        <v>98.241004374999989</v>
      </c>
    </row>
    <row r="215" spans="2:39" ht="15.75" customHeight="1">
      <c r="B215" s="96"/>
      <c r="C215" s="28" t="s">
        <v>20</v>
      </c>
      <c r="D215" s="29">
        <v>115.9</v>
      </c>
      <c r="E215" s="83">
        <f t="shared" si="62"/>
        <v>117.01376768000004</v>
      </c>
      <c r="F215" s="30">
        <f t="shared" si="47"/>
        <v>-1.1137676800000378</v>
      </c>
      <c r="G215" s="30">
        <f t="shared" si="48"/>
        <v>1.1137676800000378</v>
      </c>
      <c r="H215" s="30">
        <f t="shared" si="49"/>
        <v>1.2404784450126665</v>
      </c>
      <c r="I215" s="70">
        <f t="shared" si="50"/>
        <v>-0.96097297670408777</v>
      </c>
      <c r="J215" s="74">
        <f t="shared" si="51"/>
        <v>0.96097297670408777</v>
      </c>
      <c r="L215" s="96"/>
      <c r="M215" s="28" t="s">
        <v>20</v>
      </c>
      <c r="N215" s="29">
        <v>115.9</v>
      </c>
      <c r="O215" s="83">
        <f t="shared" si="63"/>
        <v>120.14913330078126</v>
      </c>
      <c r="P215" s="30">
        <f t="shared" si="52"/>
        <v>-4.2491333007812528</v>
      </c>
      <c r="Q215" s="30">
        <f t="shared" si="53"/>
        <v>4.2491333007812528</v>
      </c>
      <c r="R215" s="30">
        <f t="shared" si="54"/>
        <v>18.055133807808186</v>
      </c>
      <c r="S215" s="70">
        <f t="shared" si="55"/>
        <v>-3.666206471769847</v>
      </c>
      <c r="T215" s="74">
        <f t="shared" si="56"/>
        <v>3.666206471769847</v>
      </c>
      <c r="V215" s="96"/>
      <c r="W215" s="28" t="s">
        <v>20</v>
      </c>
      <c r="X215" s="29">
        <v>115.9</v>
      </c>
      <c r="Y215" s="83">
        <f t="shared" si="64"/>
        <v>122.75485881999998</v>
      </c>
      <c r="Z215" s="30">
        <f t="shared" si="57"/>
        <v>-6.8548588199999756</v>
      </c>
      <c r="AA215" s="30">
        <f t="shared" si="58"/>
        <v>6.8548588199999756</v>
      </c>
      <c r="AB215" s="30">
        <f t="shared" si="59"/>
        <v>46.989089442131458</v>
      </c>
      <c r="AC215" s="70">
        <f t="shared" si="60"/>
        <v>-5.9144597238998928</v>
      </c>
      <c r="AD215" s="74">
        <f t="shared" si="61"/>
        <v>5.9144597238998928</v>
      </c>
      <c r="AH215" s="96"/>
      <c r="AI215" s="28" t="s">
        <v>20</v>
      </c>
      <c r="AJ215" s="62">
        <v>115.9</v>
      </c>
      <c r="AK215" s="79">
        <v>117.01376768000004</v>
      </c>
      <c r="AL215" s="94">
        <f t="shared" si="65"/>
        <v>104.47230519687503</v>
      </c>
      <c r="AM215" s="94">
        <f t="shared" si="66"/>
        <v>99.17590418124999</v>
      </c>
    </row>
    <row r="216" spans="2:39" ht="15.75" customHeight="1">
      <c r="B216" s="96"/>
      <c r="C216" s="28" t="s">
        <v>21</v>
      </c>
      <c r="D216" s="29">
        <v>106.5</v>
      </c>
      <c r="E216" s="83">
        <f t="shared" si="62"/>
        <v>116.79101414400004</v>
      </c>
      <c r="F216" s="30">
        <f t="shared" si="47"/>
        <v>-10.291014144000044</v>
      </c>
      <c r="G216" s="30">
        <f t="shared" si="48"/>
        <v>10.291014144000044</v>
      </c>
      <c r="H216" s="30">
        <f t="shared" si="49"/>
        <v>105.90497211200896</v>
      </c>
      <c r="I216" s="70">
        <f t="shared" si="50"/>
        <v>-9.6629240788732815</v>
      </c>
      <c r="J216" s="74">
        <f t="shared" si="51"/>
        <v>9.6629240788732815</v>
      </c>
      <c r="L216" s="96"/>
      <c r="M216" s="28" t="s">
        <v>21</v>
      </c>
      <c r="N216" s="29">
        <v>106.5</v>
      </c>
      <c r="O216" s="83">
        <f t="shared" si="63"/>
        <v>119.08684997558595</v>
      </c>
      <c r="P216" s="30">
        <f t="shared" si="52"/>
        <v>-12.586849975585949</v>
      </c>
      <c r="Q216" s="30">
        <f t="shared" si="53"/>
        <v>12.586849975585949</v>
      </c>
      <c r="R216" s="30">
        <f t="shared" si="54"/>
        <v>158.428792307908</v>
      </c>
      <c r="S216" s="70">
        <f t="shared" si="55"/>
        <v>-11.818638474728591</v>
      </c>
      <c r="T216" s="74">
        <f t="shared" si="56"/>
        <v>11.818638474728591</v>
      </c>
      <c r="V216" s="96"/>
      <c r="W216" s="28" t="s">
        <v>21</v>
      </c>
      <c r="X216" s="29">
        <v>106.5</v>
      </c>
      <c r="Y216" s="83">
        <f t="shared" si="64"/>
        <v>120.698401174</v>
      </c>
      <c r="Z216" s="30">
        <f t="shared" si="57"/>
        <v>-14.198401173999997</v>
      </c>
      <c r="AA216" s="30">
        <f t="shared" si="58"/>
        <v>14.198401173999997</v>
      </c>
      <c r="AB216" s="30">
        <f t="shared" si="59"/>
        <v>201.5945958978445</v>
      </c>
      <c r="AC216" s="70">
        <f t="shared" si="60"/>
        <v>-13.331832088262907</v>
      </c>
      <c r="AD216" s="74">
        <f t="shared" si="61"/>
        <v>13.331832088262907</v>
      </c>
      <c r="AH216" s="96"/>
      <c r="AI216" s="28" t="s">
        <v>21</v>
      </c>
      <c r="AJ216" s="62">
        <v>106.5</v>
      </c>
      <c r="AK216" s="79">
        <v>116.79101414400004</v>
      </c>
      <c r="AL216" s="94">
        <f t="shared" si="65"/>
        <v>107.60767081765628</v>
      </c>
      <c r="AM216" s="94">
        <f t="shared" si="66"/>
        <v>100.7648244859375</v>
      </c>
    </row>
    <row r="217" spans="2:39" ht="15.75" customHeight="1">
      <c r="B217" s="96"/>
      <c r="C217" s="28" t="s">
        <v>22</v>
      </c>
      <c r="D217" s="29">
        <v>76.7</v>
      </c>
      <c r="E217" s="83">
        <f t="shared" si="62"/>
        <v>114.73281131520004</v>
      </c>
      <c r="F217" s="30">
        <f t="shared" si="47"/>
        <v>-38.032811315200036</v>
      </c>
      <c r="G217" s="30">
        <f t="shared" si="48"/>
        <v>38.032811315200036</v>
      </c>
      <c r="H217" s="30">
        <f t="shared" si="49"/>
        <v>1446.4947365376079</v>
      </c>
      <c r="I217" s="70">
        <f t="shared" si="50"/>
        <v>-49.586455430508522</v>
      </c>
      <c r="J217" s="74">
        <f t="shared" si="51"/>
        <v>49.586455430508522</v>
      </c>
      <c r="L217" s="96"/>
      <c r="M217" s="28" t="s">
        <v>22</v>
      </c>
      <c r="N217" s="29">
        <v>76.7</v>
      </c>
      <c r="O217" s="83">
        <f t="shared" si="63"/>
        <v>115.94013748168946</v>
      </c>
      <c r="P217" s="30">
        <f t="shared" si="52"/>
        <v>-39.240137481689459</v>
      </c>
      <c r="Q217" s="30">
        <f t="shared" si="53"/>
        <v>39.240137481689459</v>
      </c>
      <c r="R217" s="30">
        <f t="shared" si="54"/>
        <v>1539.78838958189</v>
      </c>
      <c r="S217" s="70">
        <f t="shared" si="55"/>
        <v>-51.160544304679867</v>
      </c>
      <c r="T217" s="74">
        <f t="shared" si="56"/>
        <v>51.160544304679867</v>
      </c>
      <c r="V217" s="96"/>
      <c r="W217" s="28" t="s">
        <v>22</v>
      </c>
      <c r="X217" s="29">
        <v>76.7</v>
      </c>
      <c r="Y217" s="83">
        <f t="shared" si="64"/>
        <v>116.4388808218</v>
      </c>
      <c r="Z217" s="30">
        <f t="shared" si="57"/>
        <v>-39.738880821799995</v>
      </c>
      <c r="AA217" s="30">
        <f t="shared" si="58"/>
        <v>39.738880821799995</v>
      </c>
      <c r="AB217" s="30">
        <f t="shared" si="59"/>
        <v>1579.1786489692236</v>
      </c>
      <c r="AC217" s="70">
        <f t="shared" si="60"/>
        <v>-51.810796377835707</v>
      </c>
      <c r="AD217" s="74">
        <f t="shared" si="61"/>
        <v>51.810796377835707</v>
      </c>
      <c r="AH217" s="96"/>
      <c r="AI217" s="28" t="s">
        <v>22</v>
      </c>
      <c r="AJ217" s="62">
        <v>76.7</v>
      </c>
      <c r="AK217" s="79">
        <v>114.73281131520004</v>
      </c>
      <c r="AL217" s="94">
        <f t="shared" si="65"/>
        <v>109.90350664924222</v>
      </c>
      <c r="AM217" s="94">
        <f t="shared" si="66"/>
        <v>102.81767838545312</v>
      </c>
    </row>
    <row r="218" spans="2:39" ht="15.75" customHeight="1">
      <c r="B218" s="97"/>
      <c r="C218" s="28" t="s">
        <v>23</v>
      </c>
      <c r="D218" s="29">
        <v>149.30000000000001</v>
      </c>
      <c r="E218" s="83">
        <f t="shared" si="62"/>
        <v>107.12624905216003</v>
      </c>
      <c r="F218" s="30">
        <f t="shared" si="47"/>
        <v>42.173750947839977</v>
      </c>
      <c r="G218" s="30">
        <f t="shared" si="48"/>
        <v>42.173750947839977</v>
      </c>
      <c r="H218" s="30">
        <f t="shared" si="49"/>
        <v>1778.6252690104334</v>
      </c>
      <c r="I218" s="70">
        <f t="shared" si="50"/>
        <v>28.247656361580692</v>
      </c>
      <c r="J218" s="74">
        <f t="shared" si="51"/>
        <v>28.247656361580692</v>
      </c>
      <c r="L218" s="97"/>
      <c r="M218" s="28" t="s">
        <v>23</v>
      </c>
      <c r="N218" s="29">
        <v>149.30000000000001</v>
      </c>
      <c r="O218" s="83">
        <f t="shared" si="63"/>
        <v>106.13010311126709</v>
      </c>
      <c r="P218" s="30">
        <f t="shared" si="52"/>
        <v>43.169896888732922</v>
      </c>
      <c r="Q218" s="30">
        <f t="shared" si="53"/>
        <v>43.169896888732922</v>
      </c>
      <c r="R218" s="30">
        <f t="shared" si="54"/>
        <v>1863.6399973838325</v>
      </c>
      <c r="S218" s="70">
        <f t="shared" si="55"/>
        <v>28.914867306586011</v>
      </c>
      <c r="T218" s="74">
        <f t="shared" si="56"/>
        <v>28.914867306586011</v>
      </c>
      <c r="V218" s="97"/>
      <c r="W218" s="28" t="s">
        <v>23</v>
      </c>
      <c r="X218" s="29">
        <v>149.30000000000001</v>
      </c>
      <c r="Y218" s="83">
        <f t="shared" si="64"/>
        <v>104.51721657525999</v>
      </c>
      <c r="Z218" s="30">
        <f t="shared" si="57"/>
        <v>44.782783424740018</v>
      </c>
      <c r="AA218" s="30">
        <f t="shared" si="58"/>
        <v>44.782783424740018</v>
      </c>
      <c r="AB218" s="30">
        <f t="shared" si="59"/>
        <v>2005.4976912671693</v>
      </c>
      <c r="AC218" s="70">
        <f t="shared" si="60"/>
        <v>29.995166392993983</v>
      </c>
      <c r="AD218" s="74">
        <f t="shared" si="61"/>
        <v>29.995166392993983</v>
      </c>
      <c r="AH218" s="97"/>
      <c r="AI218" s="28" t="s">
        <v>23</v>
      </c>
      <c r="AJ218" s="62">
        <v>149.30000000000001</v>
      </c>
      <c r="AK218" s="79">
        <v>107.12624905216003</v>
      </c>
      <c r="AL218" s="94">
        <f t="shared" si="65"/>
        <v>111.11083281573167</v>
      </c>
      <c r="AM218" s="94">
        <f t="shared" si="66"/>
        <v>104.94342686458984</v>
      </c>
    </row>
    <row r="219" spans="2:39" ht="15.75" customHeight="1">
      <c r="B219" s="98">
        <v>2022</v>
      </c>
      <c r="C219" s="38" t="s">
        <v>12</v>
      </c>
      <c r="D219" s="39">
        <v>101.1</v>
      </c>
      <c r="E219" s="83">
        <f t="shared" si="62"/>
        <v>115.56099924172803</v>
      </c>
      <c r="F219" s="30">
        <f t="shared" si="47"/>
        <v>-14.460999241728032</v>
      </c>
      <c r="G219" s="30">
        <f t="shared" si="48"/>
        <v>14.460999241728032</v>
      </c>
      <c r="H219" s="30">
        <f t="shared" si="49"/>
        <v>209.12049906925873</v>
      </c>
      <c r="I219" s="70">
        <f t="shared" si="50"/>
        <v>-14.303658992807156</v>
      </c>
      <c r="J219" s="74">
        <f t="shared" si="51"/>
        <v>14.303658992807156</v>
      </c>
      <c r="L219" s="98">
        <v>2022</v>
      </c>
      <c r="M219" s="38" t="s">
        <v>12</v>
      </c>
      <c r="N219" s="39">
        <v>101.1</v>
      </c>
      <c r="O219" s="83">
        <f t="shared" si="63"/>
        <v>116.92257733345032</v>
      </c>
      <c r="P219" s="30">
        <f t="shared" si="52"/>
        <v>-15.822577333450326</v>
      </c>
      <c r="Q219" s="30">
        <f t="shared" si="53"/>
        <v>15.822577333450326</v>
      </c>
      <c r="R219" s="30">
        <f t="shared" si="54"/>
        <v>250.35395347301602</v>
      </c>
      <c r="S219" s="70">
        <f t="shared" si="55"/>
        <v>-15.650422683927129</v>
      </c>
      <c r="T219" s="74">
        <f t="shared" si="56"/>
        <v>15.650422683927129</v>
      </c>
      <c r="V219" s="98">
        <v>2022</v>
      </c>
      <c r="W219" s="38" t="s">
        <v>12</v>
      </c>
      <c r="X219" s="39">
        <v>101.1</v>
      </c>
      <c r="Y219" s="83">
        <f t="shared" si="64"/>
        <v>117.95205160268199</v>
      </c>
      <c r="Z219" s="30">
        <f t="shared" si="57"/>
        <v>-16.852051602681996</v>
      </c>
      <c r="AA219" s="30">
        <f t="shared" si="58"/>
        <v>16.852051602681996</v>
      </c>
      <c r="AB219" s="30">
        <f t="shared" si="59"/>
        <v>283.99164321945682</v>
      </c>
      <c r="AC219" s="70">
        <f t="shared" si="60"/>
        <v>-16.668695947262112</v>
      </c>
      <c r="AD219" s="74">
        <f t="shared" si="61"/>
        <v>16.668695947262112</v>
      </c>
      <c r="AH219" s="98">
        <v>2022</v>
      </c>
      <c r="AI219" s="38" t="s">
        <v>12</v>
      </c>
      <c r="AJ219" s="75">
        <v>101.1</v>
      </c>
      <c r="AK219" s="79">
        <v>115.56099924172803</v>
      </c>
      <c r="AL219" s="94">
        <f t="shared" si="65"/>
        <v>110.11468687483875</v>
      </c>
      <c r="AM219" s="94">
        <f t="shared" si="66"/>
        <v>106.79364864993238</v>
      </c>
    </row>
    <row r="220" spans="2:39" ht="15.75" customHeight="1">
      <c r="B220" s="96"/>
      <c r="C220" s="38" t="s">
        <v>13</v>
      </c>
      <c r="D220" s="39">
        <v>77.599999999999994</v>
      </c>
      <c r="E220" s="83">
        <f t="shared" si="62"/>
        <v>112.66879939338243</v>
      </c>
      <c r="F220" s="30">
        <f t="shared" si="47"/>
        <v>-35.068799393382434</v>
      </c>
      <c r="G220" s="30">
        <f t="shared" si="48"/>
        <v>35.068799393382434</v>
      </c>
      <c r="H220" s="30">
        <f t="shared" si="49"/>
        <v>1229.8206908933003</v>
      </c>
      <c r="I220" s="70">
        <f t="shared" si="50"/>
        <v>-45.191751795595927</v>
      </c>
      <c r="J220" s="74">
        <f t="shared" si="51"/>
        <v>45.191751795595927</v>
      </c>
      <c r="L220" s="96"/>
      <c r="M220" s="38" t="s">
        <v>13</v>
      </c>
      <c r="N220" s="39">
        <v>77.599999999999994</v>
      </c>
      <c r="O220" s="83">
        <f t="shared" si="63"/>
        <v>112.96693300008775</v>
      </c>
      <c r="P220" s="30">
        <f t="shared" si="52"/>
        <v>-35.366933000087755</v>
      </c>
      <c r="Q220" s="30">
        <f t="shared" si="53"/>
        <v>35.366933000087755</v>
      </c>
      <c r="R220" s="30">
        <f t="shared" si="54"/>
        <v>1250.8199498326962</v>
      </c>
      <c r="S220" s="70">
        <f t="shared" si="55"/>
        <v>-45.575944587741958</v>
      </c>
      <c r="T220" s="74">
        <f t="shared" si="56"/>
        <v>45.575944587741958</v>
      </c>
      <c r="V220" s="96"/>
      <c r="W220" s="38" t="s">
        <v>13</v>
      </c>
      <c r="X220" s="39">
        <v>77.599999999999994</v>
      </c>
      <c r="Y220" s="83">
        <f t="shared" si="64"/>
        <v>112.89643612187739</v>
      </c>
      <c r="Z220" s="30">
        <f t="shared" si="57"/>
        <v>-35.296436121877392</v>
      </c>
      <c r="AA220" s="30">
        <f t="shared" si="58"/>
        <v>35.296436121877392</v>
      </c>
      <c r="AB220" s="30">
        <f t="shared" si="59"/>
        <v>1245.8384029057711</v>
      </c>
      <c r="AC220" s="70">
        <f t="shared" si="60"/>
        <v>-45.485098095202822</v>
      </c>
      <c r="AD220" s="74">
        <f t="shared" si="61"/>
        <v>45.485098095202822</v>
      </c>
      <c r="AH220" s="96"/>
      <c r="AI220" s="38" t="s">
        <v>13</v>
      </c>
      <c r="AJ220" s="75">
        <v>77.599999999999994</v>
      </c>
      <c r="AK220" s="79">
        <v>112.66879939338243</v>
      </c>
      <c r="AL220" s="94">
        <f t="shared" si="65"/>
        <v>111.47626496656108</v>
      </c>
      <c r="AM220" s="94">
        <f t="shared" si="66"/>
        <v>107.78996011740428</v>
      </c>
    </row>
    <row r="221" spans="2:39" ht="15.75" customHeight="1">
      <c r="B221" s="96"/>
      <c r="C221" s="38" t="s">
        <v>14</v>
      </c>
      <c r="D221" s="39">
        <v>121.8</v>
      </c>
      <c r="E221" s="83">
        <f t="shared" si="62"/>
        <v>105.65503951470595</v>
      </c>
      <c r="F221" s="30">
        <f t="shared" si="47"/>
        <v>16.14496048529405</v>
      </c>
      <c r="G221" s="30">
        <f t="shared" si="48"/>
        <v>16.14496048529405</v>
      </c>
      <c r="H221" s="30">
        <f t="shared" si="49"/>
        <v>260.6597490717063</v>
      </c>
      <c r="I221" s="70">
        <f t="shared" si="50"/>
        <v>13.255304175118269</v>
      </c>
      <c r="J221" s="74">
        <f t="shared" si="51"/>
        <v>13.255304175118269</v>
      </c>
      <c r="L221" s="96"/>
      <c r="M221" s="38" t="s">
        <v>14</v>
      </c>
      <c r="N221" s="39">
        <v>121.8</v>
      </c>
      <c r="O221" s="83">
        <f t="shared" si="63"/>
        <v>104.1251997500658</v>
      </c>
      <c r="P221" s="30">
        <f t="shared" si="52"/>
        <v>17.674800249934194</v>
      </c>
      <c r="Q221" s="30">
        <f t="shared" si="53"/>
        <v>17.674800249934194</v>
      </c>
      <c r="R221" s="30">
        <f t="shared" si="54"/>
        <v>312.39856387507382</v>
      </c>
      <c r="S221" s="70">
        <f t="shared" si="55"/>
        <v>14.511330254461571</v>
      </c>
      <c r="T221" s="74">
        <f t="shared" si="56"/>
        <v>14.511330254461571</v>
      </c>
      <c r="V221" s="96"/>
      <c r="W221" s="38" t="s">
        <v>14</v>
      </c>
      <c r="X221" s="39">
        <v>121.8</v>
      </c>
      <c r="Y221" s="83">
        <f t="shared" si="64"/>
        <v>102.30750528531416</v>
      </c>
      <c r="Z221" s="30">
        <f t="shared" si="57"/>
        <v>19.492494714685833</v>
      </c>
      <c r="AA221" s="30">
        <f t="shared" si="58"/>
        <v>19.492494714685833</v>
      </c>
      <c r="AB221" s="30">
        <f t="shared" si="59"/>
        <v>379.95735020205512</v>
      </c>
      <c r="AC221" s="70">
        <f t="shared" si="60"/>
        <v>16.003690241942394</v>
      </c>
      <c r="AD221" s="74">
        <f t="shared" si="61"/>
        <v>16.003690241942394</v>
      </c>
      <c r="AH221" s="96"/>
      <c r="AI221" s="38" t="s">
        <v>14</v>
      </c>
      <c r="AJ221" s="75">
        <v>121.8</v>
      </c>
      <c r="AK221" s="79">
        <v>105.65503951470595</v>
      </c>
      <c r="AL221" s="94">
        <f t="shared" si="65"/>
        <v>111.77439857326641</v>
      </c>
      <c r="AM221" s="94">
        <f t="shared" si="66"/>
        <v>108.89585157215132</v>
      </c>
    </row>
    <row r="222" spans="2:39" ht="15.75" customHeight="1">
      <c r="B222" s="96"/>
      <c r="C222" s="38" t="s">
        <v>15</v>
      </c>
      <c r="D222" s="41">
        <v>109.2</v>
      </c>
      <c r="E222" s="83">
        <f t="shared" si="62"/>
        <v>108.88403161176477</v>
      </c>
      <c r="F222" s="31">
        <f t="shared" si="47"/>
        <v>0.31596838823523399</v>
      </c>
      <c r="G222" s="30">
        <f t="shared" si="48"/>
        <v>0.31596838823523399</v>
      </c>
      <c r="H222" s="30">
        <f t="shared" si="49"/>
        <v>9.9836022363971558E-2</v>
      </c>
      <c r="I222" s="70">
        <f t="shared" si="50"/>
        <v>0.28934834087475642</v>
      </c>
      <c r="J222" s="74">
        <f t="shared" si="51"/>
        <v>0.28934834087475642</v>
      </c>
      <c r="L222" s="96"/>
      <c r="M222" s="38" t="s">
        <v>15</v>
      </c>
      <c r="N222" s="41">
        <v>109.2</v>
      </c>
      <c r="O222" s="83">
        <f t="shared" si="63"/>
        <v>108.54389981254936</v>
      </c>
      <c r="P222" s="31">
        <f t="shared" si="52"/>
        <v>0.65610018745064735</v>
      </c>
      <c r="Q222" s="30">
        <f t="shared" si="53"/>
        <v>0.65610018745064735</v>
      </c>
      <c r="R222" s="30">
        <f t="shared" si="54"/>
        <v>0.43046745597277458</v>
      </c>
      <c r="S222" s="70">
        <f t="shared" si="55"/>
        <v>0.60082434748227787</v>
      </c>
      <c r="T222" s="74">
        <f t="shared" si="56"/>
        <v>0.60082434748227787</v>
      </c>
      <c r="V222" s="96"/>
      <c r="W222" s="38" t="s">
        <v>15</v>
      </c>
      <c r="X222" s="41">
        <v>109.2</v>
      </c>
      <c r="Y222" s="83">
        <f t="shared" si="64"/>
        <v>108.15525369971991</v>
      </c>
      <c r="Z222" s="31">
        <f t="shared" si="57"/>
        <v>1.0447463002800959</v>
      </c>
      <c r="AA222" s="30">
        <f t="shared" si="58"/>
        <v>1.0447463002800959</v>
      </c>
      <c r="AB222" s="30">
        <f t="shared" si="59"/>
        <v>1.0914948319489481</v>
      </c>
      <c r="AC222" s="70">
        <f t="shared" si="60"/>
        <v>0.95672738120887901</v>
      </c>
      <c r="AD222" s="74">
        <f t="shared" si="61"/>
        <v>0.95672738120887901</v>
      </c>
      <c r="AH222" s="96"/>
      <c r="AI222" s="38" t="s">
        <v>15</v>
      </c>
      <c r="AJ222" s="76">
        <v>109.2</v>
      </c>
      <c r="AK222" s="79">
        <v>108.88403161176477</v>
      </c>
      <c r="AL222" s="94">
        <f t="shared" si="65"/>
        <v>110.24455880862629</v>
      </c>
      <c r="AM222" s="94">
        <f t="shared" si="66"/>
        <v>109.75941567248583</v>
      </c>
    </row>
    <row r="223" spans="2:39" ht="15.75" customHeight="1">
      <c r="B223" s="96"/>
      <c r="C223" s="38" t="s">
        <v>16</v>
      </c>
      <c r="D223" s="39">
        <v>118.7</v>
      </c>
      <c r="E223" s="83">
        <f t="shared" si="62"/>
        <v>108.94722528941182</v>
      </c>
      <c r="F223" s="30">
        <f t="shared" si="47"/>
        <v>9.7527747105881843</v>
      </c>
      <c r="G223" s="30">
        <f t="shared" si="48"/>
        <v>9.7527747105881843</v>
      </c>
      <c r="H223" s="30">
        <f t="shared" si="49"/>
        <v>95.116614555488439</v>
      </c>
      <c r="I223" s="70">
        <f t="shared" si="50"/>
        <v>8.2163224183556736</v>
      </c>
      <c r="J223" s="74">
        <f t="shared" si="51"/>
        <v>8.2163224183556736</v>
      </c>
      <c r="L223" s="96"/>
      <c r="M223" s="38" t="s">
        <v>16</v>
      </c>
      <c r="N223" s="39">
        <v>118.7</v>
      </c>
      <c r="O223" s="83">
        <f t="shared" si="63"/>
        <v>108.70792485941202</v>
      </c>
      <c r="P223" s="30">
        <f t="shared" si="52"/>
        <v>9.9920751405879855</v>
      </c>
      <c r="Q223" s="30">
        <f t="shared" si="53"/>
        <v>9.9920751405879855</v>
      </c>
      <c r="R223" s="30">
        <f t="shared" si="54"/>
        <v>99.841565615156412</v>
      </c>
      <c r="S223" s="70">
        <f t="shared" si="55"/>
        <v>8.4179234545812847</v>
      </c>
      <c r="T223" s="74">
        <f t="shared" si="56"/>
        <v>8.4179234545812847</v>
      </c>
      <c r="V223" s="96"/>
      <c r="W223" s="38" t="s">
        <v>16</v>
      </c>
      <c r="X223" s="39">
        <v>118.7</v>
      </c>
      <c r="Y223" s="83">
        <f t="shared" si="64"/>
        <v>108.46867758980392</v>
      </c>
      <c r="Z223" s="30">
        <f t="shared" si="57"/>
        <v>10.231322410196086</v>
      </c>
      <c r="AA223" s="30">
        <f t="shared" si="58"/>
        <v>10.231322410196086</v>
      </c>
      <c r="AB223" s="30">
        <f t="shared" si="59"/>
        <v>104.67995826138063</v>
      </c>
      <c r="AC223" s="70">
        <f t="shared" si="60"/>
        <v>8.6194797053042009</v>
      </c>
      <c r="AD223" s="74">
        <f t="shared" si="61"/>
        <v>8.6194797053042009</v>
      </c>
      <c r="AH223" s="96"/>
      <c r="AI223" s="38" t="s">
        <v>16</v>
      </c>
      <c r="AJ223" s="75">
        <v>118.7</v>
      </c>
      <c r="AK223" s="79">
        <v>108.94722528941182</v>
      </c>
      <c r="AL223" s="94">
        <f t="shared" si="65"/>
        <v>109.90442700941092</v>
      </c>
      <c r="AM223" s="94">
        <f t="shared" si="66"/>
        <v>109.90495861332798</v>
      </c>
    </row>
    <row r="224" spans="2:39" ht="15.75" customHeight="1">
      <c r="B224" s="96"/>
      <c r="C224" s="38" t="s">
        <v>17</v>
      </c>
      <c r="D224" s="39">
        <v>127.1</v>
      </c>
      <c r="E224" s="83">
        <f t="shared" si="62"/>
        <v>110.89778023152945</v>
      </c>
      <c r="F224" s="30">
        <f t="shared" si="47"/>
        <v>16.202219768470542</v>
      </c>
      <c r="G224" s="30">
        <f t="shared" si="48"/>
        <v>16.202219768470542</v>
      </c>
      <c r="H224" s="30">
        <f t="shared" si="49"/>
        <v>262.51192542581759</v>
      </c>
      <c r="I224" s="70">
        <f t="shared" si="50"/>
        <v>12.747615868190829</v>
      </c>
      <c r="J224" s="74">
        <f t="shared" si="51"/>
        <v>12.747615868190829</v>
      </c>
      <c r="L224" s="96"/>
      <c r="M224" s="38" t="s">
        <v>17</v>
      </c>
      <c r="N224" s="39">
        <v>127.1</v>
      </c>
      <c r="O224" s="83">
        <f t="shared" si="63"/>
        <v>111.20594364455901</v>
      </c>
      <c r="P224" s="30">
        <f t="shared" si="52"/>
        <v>15.894056355440981</v>
      </c>
      <c r="Q224" s="30">
        <f t="shared" si="53"/>
        <v>15.894056355440981</v>
      </c>
      <c r="R224" s="30">
        <f t="shared" si="54"/>
        <v>252.62102742993383</v>
      </c>
      <c r="S224" s="70">
        <f t="shared" si="55"/>
        <v>12.505158422848922</v>
      </c>
      <c r="T224" s="74">
        <f t="shared" si="56"/>
        <v>12.505158422848922</v>
      </c>
      <c r="V224" s="96"/>
      <c r="W224" s="38" t="s">
        <v>17</v>
      </c>
      <c r="X224" s="39">
        <v>127.1</v>
      </c>
      <c r="Y224" s="83">
        <f t="shared" si="64"/>
        <v>111.53807431286273</v>
      </c>
      <c r="Z224" s="30">
        <f t="shared" si="57"/>
        <v>15.561925687137261</v>
      </c>
      <c r="AA224" s="30">
        <f t="shared" si="58"/>
        <v>15.561925687137261</v>
      </c>
      <c r="AB224" s="30">
        <f t="shared" si="59"/>
        <v>242.17353109198251</v>
      </c>
      <c r="AC224" s="70">
        <f t="shared" si="60"/>
        <v>12.243843970997059</v>
      </c>
      <c r="AD224" s="74">
        <f t="shared" si="61"/>
        <v>12.243843970997059</v>
      </c>
      <c r="AH224" s="96"/>
      <c r="AI224" s="38" t="s">
        <v>17</v>
      </c>
      <c r="AJ224" s="75">
        <v>127.1</v>
      </c>
      <c r="AK224" s="79">
        <v>110.89778023152945</v>
      </c>
      <c r="AL224" s="94">
        <f t="shared" si="65"/>
        <v>109.66512657941115</v>
      </c>
      <c r="AM224" s="94">
        <f t="shared" si="66"/>
        <v>109.90479913215286</v>
      </c>
    </row>
    <row r="225" spans="2:39" ht="15.75" customHeight="1">
      <c r="B225" s="96"/>
      <c r="C225" s="38" t="s">
        <v>18</v>
      </c>
      <c r="D225" s="41">
        <v>135.4</v>
      </c>
      <c r="E225" s="83">
        <f t="shared" si="62"/>
        <v>114.13822418522356</v>
      </c>
      <c r="F225" s="31">
        <f t="shared" si="47"/>
        <v>21.261775814776442</v>
      </c>
      <c r="G225" s="30">
        <f t="shared" si="48"/>
        <v>21.261775814776442</v>
      </c>
      <c r="H225" s="30">
        <f t="shared" si="49"/>
        <v>452.06311079781244</v>
      </c>
      <c r="I225" s="70">
        <f t="shared" si="50"/>
        <v>15.70293634769309</v>
      </c>
      <c r="J225" s="74">
        <f t="shared" si="51"/>
        <v>15.70293634769309</v>
      </c>
      <c r="L225" s="96"/>
      <c r="M225" s="38" t="s">
        <v>18</v>
      </c>
      <c r="N225" s="41">
        <v>135.4</v>
      </c>
      <c r="O225" s="83">
        <f t="shared" si="63"/>
        <v>115.17945773341927</v>
      </c>
      <c r="P225" s="31">
        <f t="shared" si="52"/>
        <v>20.220542266580736</v>
      </c>
      <c r="Q225" s="30">
        <f t="shared" si="53"/>
        <v>20.220542266580736</v>
      </c>
      <c r="R225" s="30">
        <f t="shared" si="54"/>
        <v>408.87032955457801</v>
      </c>
      <c r="S225" s="70">
        <f t="shared" si="55"/>
        <v>14.933930772954755</v>
      </c>
      <c r="T225" s="74">
        <f t="shared" si="56"/>
        <v>14.933930772954755</v>
      </c>
      <c r="V225" s="96"/>
      <c r="W225" s="38" t="s">
        <v>18</v>
      </c>
      <c r="X225" s="41">
        <v>135.4</v>
      </c>
      <c r="Y225" s="83">
        <f t="shared" si="64"/>
        <v>116.2066520190039</v>
      </c>
      <c r="Z225" s="31">
        <f t="shared" si="57"/>
        <v>19.193347980996109</v>
      </c>
      <c r="AA225" s="30">
        <f t="shared" si="58"/>
        <v>19.193347980996109</v>
      </c>
      <c r="AB225" s="30">
        <f t="shared" si="59"/>
        <v>368.3846067196074</v>
      </c>
      <c r="AC225" s="70">
        <f t="shared" si="60"/>
        <v>14.175293929834643</v>
      </c>
      <c r="AD225" s="74">
        <f t="shared" si="61"/>
        <v>14.175293929834643</v>
      </c>
      <c r="AH225" s="96"/>
      <c r="AI225" s="38" t="s">
        <v>18</v>
      </c>
      <c r="AJ225" s="76">
        <v>135.4</v>
      </c>
      <c r="AK225" s="79">
        <v>114.13822418522356</v>
      </c>
      <c r="AL225" s="94">
        <f t="shared" si="65"/>
        <v>109.97328999244073</v>
      </c>
      <c r="AM225" s="94">
        <f t="shared" si="66"/>
        <v>109.83289736633034</v>
      </c>
    </row>
    <row r="226" spans="2:39" ht="15.75" customHeight="1">
      <c r="B226" s="96"/>
      <c r="C226" s="38" t="s">
        <v>19</v>
      </c>
      <c r="D226" s="42">
        <v>130.69999999999999</v>
      </c>
      <c r="E226" s="83">
        <f t="shared" si="62"/>
        <v>118.39057934817886</v>
      </c>
      <c r="F226" s="30">
        <f t="shared" si="47"/>
        <v>12.309420651821128</v>
      </c>
      <c r="G226" s="30">
        <f t="shared" si="48"/>
        <v>12.309420651821128</v>
      </c>
      <c r="H226" s="30">
        <f t="shared" si="49"/>
        <v>151.5218367834805</v>
      </c>
      <c r="I226" s="70">
        <f t="shared" si="50"/>
        <v>9.4180724191439396</v>
      </c>
      <c r="J226" s="74">
        <f t="shared" si="51"/>
        <v>9.4180724191439396</v>
      </c>
      <c r="L226" s="96"/>
      <c r="M226" s="38" t="s">
        <v>19</v>
      </c>
      <c r="N226" s="42">
        <v>130.69999999999999</v>
      </c>
      <c r="O226" s="83">
        <f t="shared" si="63"/>
        <v>120.23459330006446</v>
      </c>
      <c r="P226" s="30">
        <f t="shared" si="52"/>
        <v>10.465406699935528</v>
      </c>
      <c r="Q226" s="30">
        <f t="shared" si="53"/>
        <v>10.465406699935528</v>
      </c>
      <c r="R226" s="30">
        <f t="shared" si="54"/>
        <v>109.52473739505544</v>
      </c>
      <c r="S226" s="70">
        <f t="shared" si="55"/>
        <v>8.0071971690401913</v>
      </c>
      <c r="T226" s="74">
        <f t="shared" si="56"/>
        <v>8.0071971690401913</v>
      </c>
      <c r="V226" s="96"/>
      <c r="W226" s="38" t="s">
        <v>19</v>
      </c>
      <c r="X226" s="42">
        <v>130.69999999999999</v>
      </c>
      <c r="Y226" s="83">
        <f t="shared" si="64"/>
        <v>121.96465641330272</v>
      </c>
      <c r="Z226" s="30">
        <f t="shared" si="57"/>
        <v>8.7353435866972688</v>
      </c>
      <c r="AA226" s="30">
        <f t="shared" si="58"/>
        <v>8.7353435866972688</v>
      </c>
      <c r="AB226" s="30">
        <f t="shared" si="59"/>
        <v>76.306227577653104</v>
      </c>
      <c r="AC226" s="70">
        <f t="shared" si="60"/>
        <v>6.6835069523315003</v>
      </c>
      <c r="AD226" s="74">
        <f t="shared" si="61"/>
        <v>6.6835069523315003</v>
      </c>
      <c r="AH226" s="96"/>
      <c r="AI226" s="38" t="s">
        <v>19</v>
      </c>
      <c r="AJ226" s="77">
        <v>130.69999999999999</v>
      </c>
      <c r="AK226" s="79">
        <v>118.39057934817886</v>
      </c>
      <c r="AL226" s="94">
        <f t="shared" si="65"/>
        <v>111.01452354063643</v>
      </c>
      <c r="AM226" s="94">
        <f t="shared" si="66"/>
        <v>109.87501515416346</v>
      </c>
    </row>
    <row r="227" spans="2:39" ht="15.75" customHeight="1">
      <c r="B227" s="96"/>
      <c r="C227" s="38" t="s">
        <v>20</v>
      </c>
      <c r="D227" s="39">
        <v>118.2</v>
      </c>
      <c r="E227" s="83">
        <f t="shared" si="62"/>
        <v>120.8524634785431</v>
      </c>
      <c r="F227" s="30">
        <f t="shared" si="47"/>
        <v>-2.6524634785430976</v>
      </c>
      <c r="G227" s="30">
        <f t="shared" si="48"/>
        <v>2.6524634785430976</v>
      </c>
      <c r="H227" s="30">
        <f t="shared" si="49"/>
        <v>7.0355625050049495</v>
      </c>
      <c r="I227" s="70">
        <f t="shared" si="50"/>
        <v>-2.2440469361616731</v>
      </c>
      <c r="J227" s="74">
        <f t="shared" si="51"/>
        <v>2.2440469361616731</v>
      </c>
      <c r="L227" s="96"/>
      <c r="M227" s="38" t="s">
        <v>20</v>
      </c>
      <c r="N227" s="39">
        <v>118.2</v>
      </c>
      <c r="O227" s="83">
        <f t="shared" si="63"/>
        <v>122.85094497504834</v>
      </c>
      <c r="P227" s="30">
        <f t="shared" si="52"/>
        <v>-4.6509449750483327</v>
      </c>
      <c r="Q227" s="30">
        <f t="shared" si="53"/>
        <v>4.6509449750483327</v>
      </c>
      <c r="R227" s="30">
        <f t="shared" si="54"/>
        <v>21.631289160927338</v>
      </c>
      <c r="S227" s="70">
        <f t="shared" si="55"/>
        <v>-3.9348096235603496</v>
      </c>
      <c r="T227" s="74">
        <f t="shared" si="56"/>
        <v>3.9348096235603496</v>
      </c>
      <c r="V227" s="96"/>
      <c r="W227" s="38" t="s">
        <v>20</v>
      </c>
      <c r="X227" s="39">
        <v>118.2</v>
      </c>
      <c r="Y227" s="83">
        <f t="shared" si="64"/>
        <v>124.58525948931189</v>
      </c>
      <c r="Z227" s="30">
        <f t="shared" si="57"/>
        <v>-6.3852594893118919</v>
      </c>
      <c r="AA227" s="30">
        <f t="shared" si="58"/>
        <v>6.3852594893118919</v>
      </c>
      <c r="AB227" s="30">
        <f t="shared" si="59"/>
        <v>40.771538745847565</v>
      </c>
      <c r="AC227" s="70">
        <f t="shared" si="60"/>
        <v>-5.4020807862198748</v>
      </c>
      <c r="AD227" s="74">
        <f t="shared" si="61"/>
        <v>5.4020807862198748</v>
      </c>
      <c r="AH227" s="96"/>
      <c r="AI227" s="38" t="s">
        <v>20</v>
      </c>
      <c r="AJ227" s="75">
        <v>118.2</v>
      </c>
      <c r="AK227" s="79">
        <v>120.8524634785431</v>
      </c>
      <c r="AL227" s="94">
        <f t="shared" si="65"/>
        <v>112.85853749252203</v>
      </c>
      <c r="AM227" s="94">
        <f t="shared" si="66"/>
        <v>110.21686767010534</v>
      </c>
    </row>
    <row r="228" spans="2:39" ht="15.75" customHeight="1">
      <c r="B228" s="96"/>
      <c r="C228" s="38" t="s">
        <v>21</v>
      </c>
      <c r="D228" s="39">
        <v>110.4</v>
      </c>
      <c r="E228" s="83">
        <f t="shared" si="62"/>
        <v>120.32197078283448</v>
      </c>
      <c r="F228" s="30">
        <f t="shared" si="47"/>
        <v>-9.9219707828344781</v>
      </c>
      <c r="G228" s="30">
        <f t="shared" si="48"/>
        <v>9.9219707828344781</v>
      </c>
      <c r="H228" s="30">
        <f t="shared" si="49"/>
        <v>98.445504215421025</v>
      </c>
      <c r="I228" s="70">
        <f t="shared" si="50"/>
        <v>-8.9872923757558674</v>
      </c>
      <c r="J228" s="74">
        <f t="shared" si="51"/>
        <v>8.9872923757558674</v>
      </c>
      <c r="L228" s="96"/>
      <c r="M228" s="38" t="s">
        <v>21</v>
      </c>
      <c r="N228" s="39">
        <v>110.4</v>
      </c>
      <c r="O228" s="83">
        <f t="shared" si="63"/>
        <v>121.68820873128625</v>
      </c>
      <c r="P228" s="30">
        <f t="shared" si="52"/>
        <v>-11.288208731286247</v>
      </c>
      <c r="Q228" s="30">
        <f t="shared" si="53"/>
        <v>11.288208731286247</v>
      </c>
      <c r="R228" s="30">
        <f t="shared" si="54"/>
        <v>127.42365636108705</v>
      </c>
      <c r="S228" s="70">
        <f t="shared" si="55"/>
        <v>-10.224826749353484</v>
      </c>
      <c r="T228" s="74">
        <f t="shared" si="56"/>
        <v>10.224826749353484</v>
      </c>
      <c r="V228" s="96"/>
      <c r="W228" s="38" t="s">
        <v>21</v>
      </c>
      <c r="X228" s="39">
        <v>110.4</v>
      </c>
      <c r="Y228" s="83">
        <f t="shared" si="64"/>
        <v>122.66968164251833</v>
      </c>
      <c r="Z228" s="30">
        <f t="shared" si="57"/>
        <v>-12.269681642518321</v>
      </c>
      <c r="AA228" s="30">
        <f t="shared" si="58"/>
        <v>12.269681642518321</v>
      </c>
      <c r="AB228" s="30">
        <f t="shared" si="59"/>
        <v>150.54508760875109</v>
      </c>
      <c r="AC228" s="70">
        <f t="shared" si="60"/>
        <v>-11.11384206749848</v>
      </c>
      <c r="AD228" s="74">
        <f t="shared" si="61"/>
        <v>11.11384206749848</v>
      </c>
      <c r="AH228" s="96"/>
      <c r="AI228" s="38" t="s">
        <v>21</v>
      </c>
      <c r="AJ228" s="75">
        <v>110.4</v>
      </c>
      <c r="AK228" s="79">
        <v>120.32197078283448</v>
      </c>
      <c r="AL228" s="94">
        <f t="shared" si="65"/>
        <v>114.8570189890273</v>
      </c>
      <c r="AM228" s="94">
        <f t="shared" si="66"/>
        <v>111.00936861683034</v>
      </c>
    </row>
    <row r="229" spans="2:39" ht="15.75" customHeight="1">
      <c r="B229" s="96"/>
      <c r="C229" s="38" t="s">
        <v>22</v>
      </c>
      <c r="D229" s="39">
        <v>77.400000000000006</v>
      </c>
      <c r="E229" s="83">
        <f t="shared" si="62"/>
        <v>118.33757662626759</v>
      </c>
      <c r="F229" s="30">
        <f t="shared" si="47"/>
        <v>-40.937576626267585</v>
      </c>
      <c r="G229" s="30">
        <f t="shared" si="48"/>
        <v>40.937576626267585</v>
      </c>
      <c r="H229" s="30">
        <f t="shared" si="49"/>
        <v>1675.8851800315301</v>
      </c>
      <c r="I229" s="70">
        <f t="shared" si="50"/>
        <v>-52.89092587373073</v>
      </c>
      <c r="J229" s="74">
        <f t="shared" si="51"/>
        <v>52.89092587373073</v>
      </c>
      <c r="L229" s="96"/>
      <c r="M229" s="38" t="s">
        <v>22</v>
      </c>
      <c r="N229" s="39">
        <v>77.400000000000006</v>
      </c>
      <c r="O229" s="83">
        <f t="shared" si="63"/>
        <v>118.86615654846469</v>
      </c>
      <c r="P229" s="30">
        <f t="shared" si="52"/>
        <v>-41.466156548464681</v>
      </c>
      <c r="Q229" s="30">
        <f t="shared" si="53"/>
        <v>41.466156548464681</v>
      </c>
      <c r="R229" s="30">
        <f t="shared" si="54"/>
        <v>1719.4421389017805</v>
      </c>
      <c r="S229" s="70">
        <f t="shared" si="55"/>
        <v>-53.573845669851003</v>
      </c>
      <c r="T229" s="74">
        <f t="shared" si="56"/>
        <v>53.573845669851003</v>
      </c>
      <c r="V229" s="96"/>
      <c r="W229" s="38" t="s">
        <v>22</v>
      </c>
      <c r="X229" s="39">
        <v>77.400000000000006</v>
      </c>
      <c r="Y229" s="83">
        <f t="shared" si="64"/>
        <v>118.98877714976283</v>
      </c>
      <c r="Z229" s="30">
        <f t="shared" si="57"/>
        <v>-41.588777149762819</v>
      </c>
      <c r="AA229" s="30">
        <f t="shared" si="58"/>
        <v>41.588777149762819</v>
      </c>
      <c r="AB229" s="30">
        <f t="shared" si="59"/>
        <v>1729.6263848126341</v>
      </c>
      <c r="AC229" s="70">
        <f t="shared" si="60"/>
        <v>-53.732270219331802</v>
      </c>
      <c r="AD229" s="74">
        <f t="shared" si="61"/>
        <v>53.732270219331802</v>
      </c>
      <c r="AH229" s="96"/>
      <c r="AI229" s="38" t="s">
        <v>22</v>
      </c>
      <c r="AJ229" s="75">
        <v>77.400000000000006</v>
      </c>
      <c r="AK229" s="79">
        <v>118.33757662626759</v>
      </c>
      <c r="AL229" s="94">
        <f t="shared" si="65"/>
        <v>116.22325693747908</v>
      </c>
      <c r="AM229" s="94">
        <f t="shared" si="66"/>
        <v>112.16366372848944</v>
      </c>
    </row>
    <row r="230" spans="2:39" ht="15.75" customHeight="1">
      <c r="B230" s="97"/>
      <c r="C230" s="38" t="s">
        <v>23</v>
      </c>
      <c r="D230" s="39">
        <v>152.1</v>
      </c>
      <c r="E230" s="83">
        <f t="shared" si="62"/>
        <v>110.15006130101408</v>
      </c>
      <c r="F230" s="30">
        <f t="shared" si="47"/>
        <v>41.949938698985918</v>
      </c>
      <c r="G230" s="30">
        <f t="shared" si="48"/>
        <v>41.949938698985918</v>
      </c>
      <c r="H230" s="30">
        <f t="shared" si="49"/>
        <v>1759.7973568486764</v>
      </c>
      <c r="I230" s="70">
        <f t="shared" si="50"/>
        <v>27.580498815901329</v>
      </c>
      <c r="J230" s="74">
        <f t="shared" si="51"/>
        <v>27.580498815901329</v>
      </c>
      <c r="L230" s="97"/>
      <c r="M230" s="38" t="s">
        <v>23</v>
      </c>
      <c r="N230" s="39">
        <v>152.1</v>
      </c>
      <c r="O230" s="83">
        <f t="shared" si="63"/>
        <v>108.49961741134851</v>
      </c>
      <c r="P230" s="30">
        <f t="shared" si="52"/>
        <v>43.600382588651485</v>
      </c>
      <c r="Q230" s="30">
        <f t="shared" si="53"/>
        <v>43.600382588651485</v>
      </c>
      <c r="R230" s="30">
        <f t="shared" si="54"/>
        <v>1900.9933618767836</v>
      </c>
      <c r="S230" s="70">
        <f t="shared" si="55"/>
        <v>28.665603279849762</v>
      </c>
      <c r="T230" s="74">
        <f t="shared" si="56"/>
        <v>28.665603279849762</v>
      </c>
      <c r="V230" s="97"/>
      <c r="W230" s="38" t="s">
        <v>23</v>
      </c>
      <c r="X230" s="39">
        <v>152.1</v>
      </c>
      <c r="Y230" s="83">
        <f t="shared" si="64"/>
        <v>106.51214400483397</v>
      </c>
      <c r="Z230" s="30">
        <f t="shared" si="57"/>
        <v>45.587855995166024</v>
      </c>
      <c r="AA230" s="30">
        <f t="shared" si="58"/>
        <v>45.587855995166024</v>
      </c>
      <c r="AB230" s="30">
        <f t="shared" si="59"/>
        <v>2078.2526142359948</v>
      </c>
      <c r="AC230" s="70">
        <f t="shared" si="60"/>
        <v>29.972291910036837</v>
      </c>
      <c r="AD230" s="74">
        <f t="shared" si="61"/>
        <v>29.972291910036837</v>
      </c>
      <c r="AH230" s="97"/>
      <c r="AI230" s="38" t="s">
        <v>23</v>
      </c>
      <c r="AJ230" s="75">
        <v>152.1</v>
      </c>
      <c r="AK230" s="79">
        <v>110.15006130101408</v>
      </c>
      <c r="AL230" s="94">
        <f t="shared" si="65"/>
        <v>116.75183685967622</v>
      </c>
      <c r="AM230" s="94">
        <f t="shared" si="66"/>
        <v>113.38154169118633</v>
      </c>
    </row>
    <row r="231" spans="2:39" ht="15.75" customHeight="1">
      <c r="B231" s="99">
        <v>2023</v>
      </c>
      <c r="C231" s="44" t="s">
        <v>12</v>
      </c>
      <c r="D231" s="45">
        <v>99.7</v>
      </c>
      <c r="E231" s="83">
        <f t="shared" si="62"/>
        <v>118.54004904081127</v>
      </c>
      <c r="F231" s="30">
        <f t="shared" si="47"/>
        <v>-18.840049040811266</v>
      </c>
      <c r="G231" s="30">
        <f t="shared" si="48"/>
        <v>18.840049040811266</v>
      </c>
      <c r="H231" s="30">
        <f t="shared" si="49"/>
        <v>354.9474478601735</v>
      </c>
      <c r="I231" s="70">
        <f t="shared" si="50"/>
        <v>-18.896739258587026</v>
      </c>
      <c r="J231" s="74">
        <f t="shared" si="51"/>
        <v>18.896739258587026</v>
      </c>
      <c r="L231" s="99">
        <v>2023</v>
      </c>
      <c r="M231" s="44" t="s">
        <v>12</v>
      </c>
      <c r="N231" s="45">
        <v>99.7</v>
      </c>
      <c r="O231" s="83">
        <f t="shared" si="63"/>
        <v>119.3997130585114</v>
      </c>
      <c r="P231" s="30">
        <f t="shared" si="52"/>
        <v>-19.699713058511392</v>
      </c>
      <c r="Q231" s="30">
        <f t="shared" si="53"/>
        <v>19.699713058511392</v>
      </c>
      <c r="R231" s="30">
        <f t="shared" si="54"/>
        <v>388.07869458768425</v>
      </c>
      <c r="S231" s="70">
        <f t="shared" si="55"/>
        <v>-19.758990028597186</v>
      </c>
      <c r="T231" s="74">
        <f t="shared" si="56"/>
        <v>19.758990028597186</v>
      </c>
      <c r="V231" s="99">
        <v>2023</v>
      </c>
      <c r="W231" s="44" t="s">
        <v>12</v>
      </c>
      <c r="X231" s="45">
        <v>99.7</v>
      </c>
      <c r="Y231" s="83">
        <f t="shared" si="64"/>
        <v>120.18850080338377</v>
      </c>
      <c r="Z231" s="30">
        <f t="shared" si="57"/>
        <v>-20.488500803383772</v>
      </c>
      <c r="AA231" s="30">
        <f t="shared" si="58"/>
        <v>20.488500803383772</v>
      </c>
      <c r="AB231" s="30">
        <f t="shared" si="59"/>
        <v>419.77866517025745</v>
      </c>
      <c r="AC231" s="70">
        <f t="shared" si="60"/>
        <v>-20.550151257155239</v>
      </c>
      <c r="AD231" s="74">
        <f t="shared" si="61"/>
        <v>20.550151257155239</v>
      </c>
      <c r="AH231" s="99">
        <v>2023</v>
      </c>
      <c r="AI231" s="44" t="s">
        <v>12</v>
      </c>
      <c r="AJ231" s="69">
        <v>99.7</v>
      </c>
      <c r="AK231" s="79">
        <v>118.54004904081127</v>
      </c>
      <c r="AL231" s="94">
        <f t="shared" si="65"/>
        <v>115.10139297001068</v>
      </c>
      <c r="AM231" s="94">
        <f t="shared" si="66"/>
        <v>114.39263024173329</v>
      </c>
    </row>
    <row r="232" spans="2:39" ht="15.75" customHeight="1">
      <c r="B232" s="96"/>
      <c r="C232" s="44" t="s">
        <v>13</v>
      </c>
      <c r="D232" s="45">
        <v>75.400000000000006</v>
      </c>
      <c r="E232" s="83">
        <f t="shared" si="62"/>
        <v>114.77203923264902</v>
      </c>
      <c r="F232" s="30">
        <f t="shared" si="47"/>
        <v>-39.372039232649016</v>
      </c>
      <c r="G232" s="30">
        <f t="shared" si="48"/>
        <v>39.372039232649016</v>
      </c>
      <c r="H232" s="30">
        <f t="shared" si="49"/>
        <v>1550.1574733372534</v>
      </c>
      <c r="I232" s="70">
        <f t="shared" si="50"/>
        <v>-52.217558663990737</v>
      </c>
      <c r="J232" s="74">
        <f t="shared" si="51"/>
        <v>52.217558663990737</v>
      </c>
      <c r="L232" s="96"/>
      <c r="M232" s="44" t="s">
        <v>13</v>
      </c>
      <c r="N232" s="45">
        <v>75.400000000000006</v>
      </c>
      <c r="O232" s="83">
        <f t="shared" si="63"/>
        <v>114.47478479388354</v>
      </c>
      <c r="P232" s="30">
        <f t="shared" si="52"/>
        <v>-39.074784793883538</v>
      </c>
      <c r="Q232" s="30">
        <f t="shared" si="53"/>
        <v>39.074784793883538</v>
      </c>
      <c r="R232" s="30">
        <f t="shared" si="54"/>
        <v>1526.8388066883122</v>
      </c>
      <c r="S232" s="70">
        <f t="shared" si="55"/>
        <v>-51.8233220078031</v>
      </c>
      <c r="T232" s="74">
        <f t="shared" si="56"/>
        <v>51.8233220078031</v>
      </c>
      <c r="V232" s="96"/>
      <c r="W232" s="44" t="s">
        <v>13</v>
      </c>
      <c r="X232" s="45">
        <v>75.400000000000006</v>
      </c>
      <c r="Y232" s="83">
        <f t="shared" si="64"/>
        <v>114.04195056236864</v>
      </c>
      <c r="Z232" s="30">
        <f t="shared" si="57"/>
        <v>-38.641950562368635</v>
      </c>
      <c r="AA232" s="30">
        <f t="shared" si="58"/>
        <v>38.641950562368635</v>
      </c>
      <c r="AB232" s="30">
        <f t="shared" si="59"/>
        <v>1493.2003432645417</v>
      </c>
      <c r="AC232" s="70">
        <f t="shared" si="60"/>
        <v>-51.249271302876167</v>
      </c>
      <c r="AD232" s="74">
        <f t="shared" si="61"/>
        <v>51.249271302876167</v>
      </c>
      <c r="AH232" s="96"/>
      <c r="AI232" s="44" t="s">
        <v>13</v>
      </c>
      <c r="AJ232" s="69">
        <v>75.400000000000006</v>
      </c>
      <c r="AK232" s="79">
        <v>114.77203923264902</v>
      </c>
      <c r="AL232" s="94">
        <f t="shared" si="65"/>
        <v>115.96105698771082</v>
      </c>
      <c r="AM232" s="94">
        <f t="shared" si="66"/>
        <v>114.6052590602165</v>
      </c>
    </row>
    <row r="233" spans="2:39" ht="15.75" customHeight="1">
      <c r="B233" s="96"/>
      <c r="C233" s="44" t="s">
        <v>14</v>
      </c>
      <c r="D233" s="45">
        <v>122.5</v>
      </c>
      <c r="E233" s="83">
        <f t="shared" si="62"/>
        <v>106.89763138611922</v>
      </c>
      <c r="F233" s="30">
        <f t="shared" si="47"/>
        <v>15.602368613880785</v>
      </c>
      <c r="G233" s="30">
        <f t="shared" si="48"/>
        <v>15.602368613880785</v>
      </c>
      <c r="H233" s="30">
        <f t="shared" si="49"/>
        <v>243.43390636341221</v>
      </c>
      <c r="I233" s="70">
        <f t="shared" si="50"/>
        <v>12.736627439902682</v>
      </c>
      <c r="J233" s="74">
        <f t="shared" si="51"/>
        <v>12.736627439902682</v>
      </c>
      <c r="L233" s="96"/>
      <c r="M233" s="44" t="s">
        <v>14</v>
      </c>
      <c r="N233" s="45">
        <v>122.5</v>
      </c>
      <c r="O233" s="83">
        <f t="shared" si="63"/>
        <v>104.70608859541267</v>
      </c>
      <c r="P233" s="30">
        <f t="shared" si="52"/>
        <v>17.793911404587334</v>
      </c>
      <c r="Q233" s="30">
        <f t="shared" si="53"/>
        <v>17.793911404587334</v>
      </c>
      <c r="R233" s="30">
        <f t="shared" si="54"/>
        <v>316.62328307430317</v>
      </c>
      <c r="S233" s="70">
        <f t="shared" si="55"/>
        <v>14.525641962928434</v>
      </c>
      <c r="T233" s="74">
        <f t="shared" si="56"/>
        <v>14.525641962928434</v>
      </c>
      <c r="V233" s="96"/>
      <c r="W233" s="44" t="s">
        <v>14</v>
      </c>
      <c r="X233" s="45">
        <v>122.5</v>
      </c>
      <c r="Y233" s="83">
        <f t="shared" si="64"/>
        <v>102.44936539365804</v>
      </c>
      <c r="Z233" s="30">
        <f t="shared" si="57"/>
        <v>20.050634606341958</v>
      </c>
      <c r="AA233" s="30">
        <f t="shared" si="58"/>
        <v>20.050634606341958</v>
      </c>
      <c r="AB233" s="30">
        <f t="shared" si="59"/>
        <v>402.02794811703774</v>
      </c>
      <c r="AC233" s="70">
        <f t="shared" si="60"/>
        <v>16.367864984768946</v>
      </c>
      <c r="AD233" s="74">
        <f t="shared" si="61"/>
        <v>16.367864984768946</v>
      </c>
      <c r="AH233" s="96"/>
      <c r="AI233" s="44" t="s">
        <v>14</v>
      </c>
      <c r="AJ233" s="69">
        <v>122.5</v>
      </c>
      <c r="AK233" s="79">
        <v>106.89763138611922</v>
      </c>
      <c r="AL233" s="94">
        <f t="shared" si="65"/>
        <v>115.66380254894537</v>
      </c>
      <c r="AM233" s="94">
        <f t="shared" si="66"/>
        <v>115.01199843846479</v>
      </c>
    </row>
    <row r="234" spans="2:39" ht="15.75" customHeight="1">
      <c r="B234" s="96"/>
      <c r="C234" s="44" t="s">
        <v>15</v>
      </c>
      <c r="D234" s="47">
        <v>112.3</v>
      </c>
      <c r="E234" s="83">
        <f t="shared" si="62"/>
        <v>110.01810510889538</v>
      </c>
      <c r="F234" s="31">
        <f t="shared" si="47"/>
        <v>2.2818948911046135</v>
      </c>
      <c r="G234" s="30">
        <f t="shared" si="48"/>
        <v>2.2818948911046135</v>
      </c>
      <c r="H234" s="30">
        <f t="shared" si="49"/>
        <v>5.2070442940493358</v>
      </c>
      <c r="I234" s="70">
        <f t="shared" si="50"/>
        <v>2.0319633936817576</v>
      </c>
      <c r="J234" s="74">
        <f t="shared" si="51"/>
        <v>2.0319633936817576</v>
      </c>
      <c r="L234" s="96"/>
      <c r="M234" s="44" t="s">
        <v>15</v>
      </c>
      <c r="N234" s="47">
        <v>112.3</v>
      </c>
      <c r="O234" s="83">
        <f t="shared" si="63"/>
        <v>109.1545664465595</v>
      </c>
      <c r="P234" s="31">
        <f t="shared" si="52"/>
        <v>3.1454335534404976</v>
      </c>
      <c r="Q234" s="30">
        <f t="shared" si="53"/>
        <v>3.1454335534404976</v>
      </c>
      <c r="R234" s="30">
        <f t="shared" si="54"/>
        <v>9.8937522391093147</v>
      </c>
      <c r="S234" s="70">
        <f t="shared" si="55"/>
        <v>2.8009203503477274</v>
      </c>
      <c r="T234" s="74">
        <f t="shared" si="56"/>
        <v>2.8009203503477274</v>
      </c>
      <c r="V234" s="96"/>
      <c r="W234" s="44" t="s">
        <v>15</v>
      </c>
      <c r="X234" s="47">
        <v>112.3</v>
      </c>
      <c r="Y234" s="83">
        <f t="shared" si="64"/>
        <v>108.46455577556063</v>
      </c>
      <c r="Z234" s="31">
        <f t="shared" si="57"/>
        <v>3.8354442244393709</v>
      </c>
      <c r="AA234" s="30">
        <f t="shared" si="58"/>
        <v>3.8354442244393709</v>
      </c>
      <c r="AB234" s="30">
        <f t="shared" si="59"/>
        <v>14.710632398785327</v>
      </c>
      <c r="AC234" s="70">
        <f t="shared" si="60"/>
        <v>3.4153554981650682</v>
      </c>
      <c r="AD234" s="74">
        <f t="shared" si="61"/>
        <v>3.4153554981650682</v>
      </c>
      <c r="AH234" s="96"/>
      <c r="AI234" s="44" t="s">
        <v>15</v>
      </c>
      <c r="AJ234" s="73">
        <v>112.3</v>
      </c>
      <c r="AK234" s="79">
        <v>110.01810510889538</v>
      </c>
      <c r="AL234" s="94">
        <f t="shared" si="65"/>
        <v>113.47225975823883</v>
      </c>
      <c r="AM234" s="94">
        <f t="shared" si="66"/>
        <v>115.20753967160897</v>
      </c>
    </row>
    <row r="235" spans="2:39" ht="15.75" customHeight="1">
      <c r="B235" s="96"/>
      <c r="C235" s="44" t="s">
        <v>16</v>
      </c>
      <c r="D235" s="45">
        <v>116.4</v>
      </c>
      <c r="E235" s="83">
        <f t="shared" si="62"/>
        <v>110.47448408711631</v>
      </c>
      <c r="F235" s="30">
        <f t="shared" si="47"/>
        <v>5.9255159128836965</v>
      </c>
      <c r="G235" s="30">
        <f t="shared" si="48"/>
        <v>5.9255159128836965</v>
      </c>
      <c r="H235" s="30">
        <f t="shared" si="49"/>
        <v>35.111738833837904</v>
      </c>
      <c r="I235" s="70">
        <f t="shared" si="50"/>
        <v>5.0906494096938975</v>
      </c>
      <c r="J235" s="74">
        <f t="shared" si="51"/>
        <v>5.0906494096938975</v>
      </c>
      <c r="L235" s="96"/>
      <c r="M235" s="44" t="s">
        <v>16</v>
      </c>
      <c r="N235" s="45">
        <v>116.4</v>
      </c>
      <c r="O235" s="83">
        <f t="shared" si="63"/>
        <v>109.94092483491963</v>
      </c>
      <c r="P235" s="30">
        <f t="shared" si="52"/>
        <v>6.4590751650803782</v>
      </c>
      <c r="Q235" s="30">
        <f t="shared" si="53"/>
        <v>6.4590751650803782</v>
      </c>
      <c r="R235" s="30">
        <f t="shared" si="54"/>
        <v>41.719651988158112</v>
      </c>
      <c r="S235" s="70">
        <f t="shared" si="55"/>
        <v>5.5490336469762696</v>
      </c>
      <c r="T235" s="74">
        <f t="shared" si="56"/>
        <v>5.5490336469762696</v>
      </c>
      <c r="V235" s="96"/>
      <c r="W235" s="44" t="s">
        <v>16</v>
      </c>
      <c r="X235" s="45">
        <v>116.4</v>
      </c>
      <c r="Y235" s="83">
        <f t="shared" si="64"/>
        <v>109.61518904289242</v>
      </c>
      <c r="Z235" s="30">
        <f t="shared" si="57"/>
        <v>6.784810957107581</v>
      </c>
      <c r="AA235" s="30">
        <f t="shared" si="58"/>
        <v>6.784810957107581</v>
      </c>
      <c r="AB235" s="30">
        <f t="shared" si="59"/>
        <v>46.033659723687087</v>
      </c>
      <c r="AC235" s="70">
        <f t="shared" si="60"/>
        <v>5.8288753927041066</v>
      </c>
      <c r="AD235" s="74">
        <f t="shared" si="61"/>
        <v>5.8288753927041066</v>
      </c>
      <c r="AH235" s="96"/>
      <c r="AI235" s="44" t="s">
        <v>16</v>
      </c>
      <c r="AJ235" s="69">
        <v>116.4</v>
      </c>
      <c r="AK235" s="79">
        <v>110.47448408711631</v>
      </c>
      <c r="AL235" s="94">
        <f t="shared" si="65"/>
        <v>112.60872109590298</v>
      </c>
      <c r="AM235" s="94">
        <f t="shared" si="66"/>
        <v>114.68695569759791</v>
      </c>
    </row>
    <row r="236" spans="2:39" ht="15.75" customHeight="1">
      <c r="B236" s="96"/>
      <c r="C236" s="44" t="s">
        <v>17</v>
      </c>
      <c r="D236" s="45">
        <v>125.5</v>
      </c>
      <c r="E236" s="83">
        <f t="shared" si="62"/>
        <v>111.65958726969305</v>
      </c>
      <c r="F236" s="30">
        <f t="shared" si="47"/>
        <v>13.840412730306952</v>
      </c>
      <c r="G236" s="30">
        <f t="shared" si="48"/>
        <v>13.840412730306952</v>
      </c>
      <c r="H236" s="30">
        <f t="shared" si="49"/>
        <v>191.55702454524271</v>
      </c>
      <c r="I236" s="70">
        <f t="shared" si="50"/>
        <v>11.02821731498562</v>
      </c>
      <c r="J236" s="74">
        <f t="shared" si="51"/>
        <v>11.02821731498562</v>
      </c>
      <c r="L236" s="96"/>
      <c r="M236" s="44" t="s">
        <v>17</v>
      </c>
      <c r="N236" s="45">
        <v>125.5</v>
      </c>
      <c r="O236" s="83">
        <f t="shared" si="63"/>
        <v>111.55569362618971</v>
      </c>
      <c r="P236" s="30">
        <f t="shared" si="52"/>
        <v>13.944306373810292</v>
      </c>
      <c r="Q236" s="30">
        <f t="shared" si="53"/>
        <v>13.944306373810292</v>
      </c>
      <c r="R236" s="30">
        <f t="shared" si="54"/>
        <v>194.44368024668634</v>
      </c>
      <c r="S236" s="70">
        <f t="shared" si="55"/>
        <v>11.111001094669556</v>
      </c>
      <c r="T236" s="74">
        <f t="shared" si="56"/>
        <v>11.111001094669556</v>
      </c>
      <c r="V236" s="96"/>
      <c r="W236" s="44" t="s">
        <v>17</v>
      </c>
      <c r="X236" s="45">
        <v>125.5</v>
      </c>
      <c r="Y236" s="83">
        <f t="shared" si="64"/>
        <v>111.65063233002469</v>
      </c>
      <c r="Z236" s="30">
        <f t="shared" si="57"/>
        <v>13.849367669975308</v>
      </c>
      <c r="AA236" s="30">
        <f t="shared" si="58"/>
        <v>13.849367669975308</v>
      </c>
      <c r="AB236" s="30">
        <f t="shared" si="59"/>
        <v>191.8049848581573</v>
      </c>
      <c r="AC236" s="70">
        <f t="shared" si="60"/>
        <v>11.035352725079926</v>
      </c>
      <c r="AD236" s="74">
        <f t="shared" si="61"/>
        <v>11.035352725079926</v>
      </c>
      <c r="AH236" s="96"/>
      <c r="AI236" s="44" t="s">
        <v>17</v>
      </c>
      <c r="AJ236" s="69">
        <v>125.5</v>
      </c>
      <c r="AK236" s="79">
        <v>111.65958726969305</v>
      </c>
      <c r="AL236" s="94">
        <f t="shared" si="65"/>
        <v>112.07516184370631</v>
      </c>
      <c r="AM236" s="94">
        <f t="shared" si="66"/>
        <v>114.06348531708943</v>
      </c>
    </row>
    <row r="237" spans="2:39" ht="15.75" customHeight="1">
      <c r="B237" s="96"/>
      <c r="C237" s="44" t="s">
        <v>18</v>
      </c>
      <c r="D237" s="47">
        <v>114.3</v>
      </c>
      <c r="E237" s="83">
        <f t="shared" si="62"/>
        <v>114.42766981575446</v>
      </c>
      <c r="F237" s="31">
        <f t="shared" si="47"/>
        <v>-0.12766981575445868</v>
      </c>
      <c r="G237" s="30">
        <f t="shared" si="48"/>
        <v>0.12766981575445868</v>
      </c>
      <c r="H237" s="30">
        <f t="shared" si="49"/>
        <v>1.6299581854777426E-2</v>
      </c>
      <c r="I237" s="70">
        <f t="shared" si="50"/>
        <v>-0.1116971266443208</v>
      </c>
      <c r="J237" s="74">
        <f t="shared" si="51"/>
        <v>0.1116971266443208</v>
      </c>
      <c r="L237" s="96"/>
      <c r="M237" s="44" t="s">
        <v>18</v>
      </c>
      <c r="N237" s="47">
        <v>114.3</v>
      </c>
      <c r="O237" s="83">
        <f t="shared" si="63"/>
        <v>115.04177021964227</v>
      </c>
      <c r="P237" s="31">
        <f t="shared" si="52"/>
        <v>-0.74177021964227663</v>
      </c>
      <c r="Q237" s="30">
        <f t="shared" si="53"/>
        <v>0.74177021964227663</v>
      </c>
      <c r="R237" s="30">
        <f t="shared" si="54"/>
        <v>0.55022305874815136</v>
      </c>
      <c r="S237" s="70">
        <f t="shared" si="55"/>
        <v>-0.64896782120934093</v>
      </c>
      <c r="T237" s="74">
        <f t="shared" si="56"/>
        <v>0.64896782120934093</v>
      </c>
      <c r="V237" s="96"/>
      <c r="W237" s="44" t="s">
        <v>18</v>
      </c>
      <c r="X237" s="47">
        <v>114.3</v>
      </c>
      <c r="Y237" s="83">
        <f t="shared" si="64"/>
        <v>115.80544263101729</v>
      </c>
      <c r="Z237" s="31">
        <f t="shared" si="57"/>
        <v>-1.5054426310172886</v>
      </c>
      <c r="AA237" s="30">
        <f t="shared" si="58"/>
        <v>1.5054426310172886</v>
      </c>
      <c r="AB237" s="30">
        <f t="shared" si="59"/>
        <v>2.2663575152842563</v>
      </c>
      <c r="AC237" s="70">
        <f t="shared" si="60"/>
        <v>-1.317097664932011</v>
      </c>
      <c r="AD237" s="74">
        <f t="shared" si="61"/>
        <v>1.317097664932011</v>
      </c>
      <c r="AH237" s="96"/>
      <c r="AI237" s="44" t="s">
        <v>18</v>
      </c>
      <c r="AJ237" s="73">
        <v>114.3</v>
      </c>
      <c r="AK237" s="79">
        <v>114.42766981575446</v>
      </c>
      <c r="AL237" s="94">
        <f t="shared" si="65"/>
        <v>111.97126820020299</v>
      </c>
      <c r="AM237" s="94">
        <f t="shared" si="66"/>
        <v>113.4669882750745</v>
      </c>
    </row>
    <row r="238" spans="2:39" ht="15.75" customHeight="1">
      <c r="B238" s="96"/>
      <c r="C238" s="44" t="s">
        <v>19</v>
      </c>
      <c r="D238" s="49">
        <v>127.9</v>
      </c>
      <c r="E238" s="83">
        <f t="shared" si="62"/>
        <v>114.40213585260356</v>
      </c>
      <c r="F238" s="30">
        <f t="shared" si="47"/>
        <v>13.497864147396442</v>
      </c>
      <c r="G238" s="30">
        <f t="shared" si="48"/>
        <v>13.497864147396442</v>
      </c>
      <c r="H238" s="30">
        <f t="shared" si="49"/>
        <v>182.19233654157026</v>
      </c>
      <c r="I238" s="70">
        <f t="shared" si="50"/>
        <v>10.553451248941705</v>
      </c>
      <c r="J238" s="74">
        <f t="shared" si="51"/>
        <v>10.553451248941705</v>
      </c>
      <c r="L238" s="96"/>
      <c r="M238" s="44" t="s">
        <v>19</v>
      </c>
      <c r="N238" s="49">
        <v>127.9</v>
      </c>
      <c r="O238" s="83">
        <f t="shared" si="63"/>
        <v>114.85632766473171</v>
      </c>
      <c r="P238" s="30">
        <f t="shared" si="52"/>
        <v>13.043672335268298</v>
      </c>
      <c r="Q238" s="30">
        <f t="shared" si="53"/>
        <v>13.043672335268298</v>
      </c>
      <c r="R238" s="30">
        <f t="shared" si="54"/>
        <v>170.13738798984352</v>
      </c>
      <c r="S238" s="70">
        <f t="shared" si="55"/>
        <v>10.19833646228952</v>
      </c>
      <c r="T238" s="74">
        <f t="shared" si="56"/>
        <v>10.19833646228952</v>
      </c>
      <c r="V238" s="96"/>
      <c r="W238" s="44" t="s">
        <v>19</v>
      </c>
      <c r="X238" s="49">
        <v>127.9</v>
      </c>
      <c r="Y238" s="83">
        <f t="shared" si="64"/>
        <v>115.35380984171209</v>
      </c>
      <c r="Z238" s="30">
        <f t="shared" si="57"/>
        <v>12.546190158287914</v>
      </c>
      <c r="AA238" s="30">
        <f t="shared" si="58"/>
        <v>12.546190158287914</v>
      </c>
      <c r="AB238" s="30">
        <f t="shared" si="59"/>
        <v>157.4068874879205</v>
      </c>
      <c r="AC238" s="70">
        <f t="shared" si="60"/>
        <v>9.8093746350961002</v>
      </c>
      <c r="AD238" s="74">
        <f t="shared" si="61"/>
        <v>9.8093746350961002</v>
      </c>
      <c r="AH238" s="96"/>
      <c r="AI238" s="44" t="s">
        <v>19</v>
      </c>
      <c r="AJ238" s="78">
        <v>127.9</v>
      </c>
      <c r="AK238" s="79">
        <v>114.40213585260356</v>
      </c>
      <c r="AL238" s="94">
        <f t="shared" si="65"/>
        <v>112.58536860409086</v>
      </c>
      <c r="AM238" s="94">
        <f t="shared" si="66"/>
        <v>113.01827225261303</v>
      </c>
    </row>
    <row r="239" spans="2:39" ht="15.75" customHeight="1">
      <c r="B239" s="96"/>
      <c r="C239" s="44" t="s">
        <v>20</v>
      </c>
      <c r="D239" s="29">
        <v>119.6</v>
      </c>
      <c r="E239" s="83">
        <f t="shared" si="62"/>
        <v>117.10170868208286</v>
      </c>
      <c r="F239" s="30">
        <f t="shared" si="47"/>
        <v>2.4982913179171362</v>
      </c>
      <c r="G239" s="30">
        <f t="shared" si="48"/>
        <v>2.4982913179171362</v>
      </c>
      <c r="H239" s="30">
        <f t="shared" si="49"/>
        <v>6.2414595091801415</v>
      </c>
      <c r="I239" s="70">
        <f t="shared" si="50"/>
        <v>2.088872339395599</v>
      </c>
      <c r="J239" s="74">
        <f t="shared" si="51"/>
        <v>2.088872339395599</v>
      </c>
      <c r="L239" s="96"/>
      <c r="M239" s="44" t="s">
        <v>20</v>
      </c>
      <c r="N239" s="29">
        <v>119.6</v>
      </c>
      <c r="O239" s="83">
        <f t="shared" si="63"/>
        <v>118.11724574854878</v>
      </c>
      <c r="P239" s="30">
        <f t="shared" si="52"/>
        <v>1.4827542514512118</v>
      </c>
      <c r="Q239" s="30">
        <f t="shared" si="53"/>
        <v>1.4827542514512118</v>
      </c>
      <c r="R239" s="30">
        <f t="shared" si="54"/>
        <v>2.1985601701966435</v>
      </c>
      <c r="S239" s="70">
        <f t="shared" si="55"/>
        <v>1.2397610798087055</v>
      </c>
      <c r="T239" s="74">
        <f t="shared" si="56"/>
        <v>1.2397610798087055</v>
      </c>
      <c r="V239" s="96"/>
      <c r="W239" s="44" t="s">
        <v>20</v>
      </c>
      <c r="X239" s="29">
        <v>119.6</v>
      </c>
      <c r="Y239" s="83">
        <f t="shared" si="64"/>
        <v>119.11766688919846</v>
      </c>
      <c r="Z239" s="30">
        <f t="shared" si="57"/>
        <v>0.48233311080153385</v>
      </c>
      <c r="AA239" s="30">
        <f t="shared" si="58"/>
        <v>0.48233311080153385</v>
      </c>
      <c r="AB239" s="30">
        <f t="shared" si="59"/>
        <v>0.23264522977548474</v>
      </c>
      <c r="AC239" s="70">
        <f t="shared" si="60"/>
        <v>0.40328855418188447</v>
      </c>
      <c r="AD239" s="74">
        <f t="shared" si="61"/>
        <v>0.40328855418188447</v>
      </c>
      <c r="AH239" s="96"/>
      <c r="AI239" s="44" t="s">
        <v>20</v>
      </c>
      <c r="AJ239" s="62">
        <v>119.6</v>
      </c>
      <c r="AK239" s="79">
        <v>117.10170868208286</v>
      </c>
      <c r="AL239" s="94">
        <f t="shared" si="65"/>
        <v>113.03956041621905</v>
      </c>
      <c r="AM239" s="94">
        <f t="shared" si="66"/>
        <v>112.88840115805637</v>
      </c>
    </row>
    <row r="240" spans="2:39" ht="15.75" customHeight="1">
      <c r="B240" s="96"/>
      <c r="C240" s="44" t="s">
        <v>21</v>
      </c>
      <c r="D240" s="29">
        <v>108.7</v>
      </c>
      <c r="E240" s="83">
        <f t="shared" si="62"/>
        <v>117.6013669456663</v>
      </c>
      <c r="F240" s="30">
        <f t="shared" si="47"/>
        <v>-8.9013669456662967</v>
      </c>
      <c r="G240" s="30">
        <f t="shared" si="48"/>
        <v>8.9013669456662967</v>
      </c>
      <c r="H240" s="30">
        <f t="shared" si="49"/>
        <v>79.234333501400542</v>
      </c>
      <c r="I240" s="70">
        <f t="shared" si="50"/>
        <v>-8.1889300328116814</v>
      </c>
      <c r="J240" s="74">
        <f t="shared" si="51"/>
        <v>8.1889300328116814</v>
      </c>
      <c r="L240" s="96"/>
      <c r="M240" s="44" t="s">
        <v>21</v>
      </c>
      <c r="N240" s="29">
        <v>108.7</v>
      </c>
      <c r="O240" s="83">
        <f t="shared" si="63"/>
        <v>118.48793431141158</v>
      </c>
      <c r="P240" s="30">
        <f t="shared" si="52"/>
        <v>-9.7879343114115755</v>
      </c>
      <c r="Q240" s="30">
        <f t="shared" si="53"/>
        <v>9.7879343114115755</v>
      </c>
      <c r="R240" s="30">
        <f t="shared" si="54"/>
        <v>95.803658084507987</v>
      </c>
      <c r="S240" s="70">
        <f t="shared" si="55"/>
        <v>-9.0045393849232518</v>
      </c>
      <c r="T240" s="74">
        <f t="shared" si="56"/>
        <v>9.0045393849232518</v>
      </c>
      <c r="V240" s="96"/>
      <c r="W240" s="44" t="s">
        <v>21</v>
      </c>
      <c r="X240" s="29">
        <v>108.7</v>
      </c>
      <c r="Y240" s="83">
        <f t="shared" si="64"/>
        <v>119.26236682243891</v>
      </c>
      <c r="Z240" s="30">
        <f t="shared" si="57"/>
        <v>-10.562366822438904</v>
      </c>
      <c r="AA240" s="30">
        <f t="shared" si="58"/>
        <v>10.562366822438904</v>
      </c>
      <c r="AB240" s="30">
        <f t="shared" si="59"/>
        <v>111.56359289175811</v>
      </c>
      <c r="AC240" s="70">
        <f t="shared" si="60"/>
        <v>-9.7169887970919078</v>
      </c>
      <c r="AD240" s="74">
        <f t="shared" si="61"/>
        <v>9.7169887970919078</v>
      </c>
      <c r="AH240" s="96"/>
      <c r="AI240" s="44" t="s">
        <v>21</v>
      </c>
      <c r="AJ240" s="62">
        <v>108.7</v>
      </c>
      <c r="AK240" s="79">
        <v>117.6013669456663</v>
      </c>
      <c r="AL240" s="94">
        <f t="shared" si="65"/>
        <v>114.055097482685</v>
      </c>
      <c r="AM240" s="94">
        <f t="shared" si="66"/>
        <v>112.93374893550518</v>
      </c>
    </row>
    <row r="241" spans="2:39" ht="15.75" customHeight="1">
      <c r="B241" s="96"/>
      <c r="C241" s="44" t="s">
        <v>22</v>
      </c>
      <c r="D241" s="29">
        <v>78.5</v>
      </c>
      <c r="E241" s="83">
        <f t="shared" si="62"/>
        <v>115.82109355653304</v>
      </c>
      <c r="F241" s="30">
        <f t="shared" si="47"/>
        <v>-37.321093556533043</v>
      </c>
      <c r="G241" s="30">
        <f t="shared" si="48"/>
        <v>37.321093556533043</v>
      </c>
      <c r="H241" s="30">
        <f t="shared" si="49"/>
        <v>1392.8640242554923</v>
      </c>
      <c r="I241" s="70">
        <f t="shared" si="50"/>
        <v>-47.542794339532541</v>
      </c>
      <c r="J241" s="74">
        <f t="shared" si="51"/>
        <v>47.542794339532541</v>
      </c>
      <c r="L241" s="96"/>
      <c r="M241" s="44" t="s">
        <v>22</v>
      </c>
      <c r="N241" s="29">
        <v>78.5</v>
      </c>
      <c r="O241" s="83">
        <f t="shared" si="63"/>
        <v>116.04095073355869</v>
      </c>
      <c r="P241" s="30">
        <f t="shared" si="52"/>
        <v>-37.540950733558688</v>
      </c>
      <c r="Q241" s="30">
        <f t="shared" si="53"/>
        <v>37.540950733558688</v>
      </c>
      <c r="R241" s="30">
        <f t="shared" si="54"/>
        <v>1409.3229819794806</v>
      </c>
      <c r="S241" s="70">
        <f t="shared" si="55"/>
        <v>-47.822867176507884</v>
      </c>
      <c r="T241" s="74">
        <f t="shared" si="56"/>
        <v>47.822867176507884</v>
      </c>
      <c r="V241" s="96"/>
      <c r="W241" s="44" t="s">
        <v>22</v>
      </c>
      <c r="X241" s="29">
        <v>78.5</v>
      </c>
      <c r="Y241" s="83">
        <f t="shared" si="64"/>
        <v>116.09365677570723</v>
      </c>
      <c r="Z241" s="30">
        <f t="shared" si="57"/>
        <v>-37.593656775707231</v>
      </c>
      <c r="AA241" s="30">
        <f t="shared" si="58"/>
        <v>37.593656775707231</v>
      </c>
      <c r="AB241" s="30">
        <f t="shared" si="59"/>
        <v>1413.2830297696783</v>
      </c>
      <c r="AC241" s="70">
        <f t="shared" si="60"/>
        <v>-47.890008631474181</v>
      </c>
      <c r="AD241" s="74">
        <f t="shared" si="61"/>
        <v>47.890008631474181</v>
      </c>
      <c r="AH241" s="96"/>
      <c r="AI241" s="44" t="s">
        <v>22</v>
      </c>
      <c r="AJ241" s="62">
        <v>78.5</v>
      </c>
      <c r="AK241" s="79">
        <v>115.82109355653304</v>
      </c>
      <c r="AL241" s="94">
        <f t="shared" si="65"/>
        <v>114.94166484843032</v>
      </c>
      <c r="AM241" s="94">
        <f t="shared" si="66"/>
        <v>113.27015349965912</v>
      </c>
    </row>
    <row r="242" spans="2:39" ht="15.75" customHeight="1">
      <c r="B242" s="97"/>
      <c r="C242" s="44" t="s">
        <v>23</v>
      </c>
      <c r="D242" s="29">
        <v>150.80000000000001</v>
      </c>
      <c r="E242" s="83">
        <f t="shared" si="62"/>
        <v>108.35687484522644</v>
      </c>
      <c r="F242" s="30">
        <f t="shared" si="47"/>
        <v>42.443125154773568</v>
      </c>
      <c r="G242" s="30">
        <f t="shared" si="48"/>
        <v>42.443125154773568</v>
      </c>
      <c r="H242" s="30">
        <f t="shared" si="49"/>
        <v>1801.4188729037728</v>
      </c>
      <c r="I242" s="70">
        <f t="shared" si="50"/>
        <v>28.145308458072655</v>
      </c>
      <c r="J242" s="74">
        <f t="shared" si="51"/>
        <v>28.145308458072655</v>
      </c>
      <c r="L242" s="97"/>
      <c r="M242" s="44" t="s">
        <v>23</v>
      </c>
      <c r="N242" s="29">
        <v>150.80000000000001</v>
      </c>
      <c r="O242" s="83">
        <f t="shared" si="63"/>
        <v>106.65571305016901</v>
      </c>
      <c r="P242" s="30">
        <f t="shared" si="52"/>
        <v>44.144286949830999</v>
      </c>
      <c r="Q242" s="30">
        <f t="shared" si="53"/>
        <v>44.144286949830999</v>
      </c>
      <c r="R242" s="30">
        <f t="shared" si="54"/>
        <v>1948.7180703090194</v>
      </c>
      <c r="S242" s="70">
        <f t="shared" si="55"/>
        <v>29.273399834105433</v>
      </c>
      <c r="T242" s="74">
        <f t="shared" si="56"/>
        <v>29.273399834105433</v>
      </c>
      <c r="V242" s="97"/>
      <c r="W242" s="44" t="s">
        <v>23</v>
      </c>
      <c r="X242" s="29">
        <v>150.80000000000001</v>
      </c>
      <c r="Y242" s="83">
        <f t="shared" si="64"/>
        <v>104.81555974299505</v>
      </c>
      <c r="Z242" s="30">
        <f t="shared" si="57"/>
        <v>45.984440257004962</v>
      </c>
      <c r="AA242" s="30">
        <f t="shared" si="58"/>
        <v>45.984440257004962</v>
      </c>
      <c r="AB242" s="30">
        <f t="shared" si="59"/>
        <v>2114.5687457500585</v>
      </c>
      <c r="AC242" s="70">
        <f t="shared" si="60"/>
        <v>30.493660647881271</v>
      </c>
      <c r="AD242" s="74">
        <f t="shared" si="61"/>
        <v>30.493660647881271</v>
      </c>
      <c r="AH242" s="97"/>
      <c r="AI242" s="44" t="s">
        <v>23</v>
      </c>
      <c r="AJ242" s="62">
        <v>150.80000000000001</v>
      </c>
      <c r="AK242" s="79">
        <v>108.35687484522644</v>
      </c>
      <c r="AL242" s="94">
        <f t="shared" si="65"/>
        <v>115.16152202545601</v>
      </c>
      <c r="AM242" s="94">
        <f t="shared" si="66"/>
        <v>113.77160690429048</v>
      </c>
    </row>
    <row r="243" spans="2:39" ht="15.75" customHeight="1">
      <c r="B243" s="55"/>
      <c r="C243" s="55"/>
      <c r="D243" s="58" t="s">
        <v>34</v>
      </c>
      <c r="E243" s="57">
        <f t="shared" ref="E243:J243" si="67">SUM(E207:E242)</f>
        <v>3894.9725006190952</v>
      </c>
      <c r="F243" s="57">
        <f t="shared" si="67"/>
        <v>93.227499380904746</v>
      </c>
      <c r="G243" s="57">
        <f t="shared" si="67"/>
        <v>658.11074188764451</v>
      </c>
      <c r="H243" s="57">
        <f t="shared" si="67"/>
        <v>18740.507945238238</v>
      </c>
      <c r="I243" s="57">
        <f t="shared" si="67"/>
        <v>-62.77323248234169</v>
      </c>
      <c r="J243" s="57">
        <f t="shared" si="67"/>
        <v>628.57848306128517</v>
      </c>
      <c r="L243" s="55"/>
      <c r="M243" s="55"/>
      <c r="N243" s="58" t="s">
        <v>34</v>
      </c>
      <c r="O243" s="57">
        <f t="shared" ref="O243:T243" si="68">SUM(O207:O242)</f>
        <v>3910.2328608494918</v>
      </c>
      <c r="P243" s="57">
        <f t="shared" si="68"/>
        <v>77.967139150506981</v>
      </c>
      <c r="Q243" s="57">
        <f t="shared" si="68"/>
        <v>671.79932807730984</v>
      </c>
      <c r="R243" s="57">
        <f t="shared" si="68"/>
        <v>19274.774828717062</v>
      </c>
      <c r="S243" s="57">
        <f t="shared" si="68"/>
        <v>-77.344419785846227</v>
      </c>
      <c r="T243" s="57">
        <f t="shared" si="68"/>
        <v>641.76364996367954</v>
      </c>
      <c r="V243" s="55"/>
      <c r="W243" s="55"/>
      <c r="X243" s="58" t="s">
        <v>34</v>
      </c>
      <c r="Y243" s="57">
        <f t="shared" ref="Y243:AD243" si="69">SUM(Y207:Y242)</f>
        <v>3920.1636939330097</v>
      </c>
      <c r="Z243" s="57">
        <f t="shared" si="69"/>
        <v>68.036306066989169</v>
      </c>
      <c r="AA243" s="57">
        <f t="shared" si="69"/>
        <v>682.78883490072565</v>
      </c>
      <c r="AB243" s="57">
        <f t="shared" si="69"/>
        <v>19858.623709719082</v>
      </c>
      <c r="AC243" s="57">
        <f t="shared" si="69"/>
        <v>-86.711014936251374</v>
      </c>
      <c r="AD243" s="57">
        <f t="shared" si="69"/>
        <v>651.4343907620547</v>
      </c>
    </row>
    <row r="244" spans="2:39" ht="15.75" customHeight="1">
      <c r="B244" s="95">
        <v>2024</v>
      </c>
      <c r="C244" s="52" t="s">
        <v>12</v>
      </c>
      <c r="D244" s="55">
        <v>100.5</v>
      </c>
      <c r="E244" s="84">
        <f>($C$203*D242)+((1-$C$203)*E242)</f>
        <v>116.84549987618115</v>
      </c>
      <c r="F244" s="46" t="s">
        <v>44</v>
      </c>
      <c r="G244" s="46" t="s">
        <v>44</v>
      </c>
      <c r="H244" s="46" t="s">
        <v>44</v>
      </c>
      <c r="I244" s="46" t="s">
        <v>44</v>
      </c>
      <c r="J244" s="79" t="s">
        <v>44</v>
      </c>
      <c r="L244" s="95">
        <v>2024</v>
      </c>
      <c r="M244" s="52" t="s">
        <v>12</v>
      </c>
      <c r="N244" s="55">
        <v>100.5</v>
      </c>
      <c r="O244" s="84">
        <f>($C$203*N242)+((1-$C$203)*O242)</f>
        <v>115.48457044013523</v>
      </c>
      <c r="P244" s="46" t="s">
        <v>44</v>
      </c>
      <c r="Q244" s="46" t="s">
        <v>44</v>
      </c>
      <c r="R244" s="46" t="s">
        <v>44</v>
      </c>
      <c r="S244" s="46" t="s">
        <v>44</v>
      </c>
      <c r="T244" s="79" t="s">
        <v>44</v>
      </c>
      <c r="V244" s="95">
        <v>2024</v>
      </c>
      <c r="W244" s="52" t="s">
        <v>12</v>
      </c>
      <c r="X244" s="55">
        <v>100.5</v>
      </c>
      <c r="Y244" s="84">
        <f>($C$203*X242)+((1-$C$203)*Y242)</f>
        <v>114.01244779439605</v>
      </c>
      <c r="Z244" s="46" t="s">
        <v>44</v>
      </c>
      <c r="AA244" s="46" t="s">
        <v>44</v>
      </c>
      <c r="AB244" s="46" t="s">
        <v>44</v>
      </c>
      <c r="AC244" s="46" t="s">
        <v>44</v>
      </c>
      <c r="AD244" s="79" t="s">
        <v>44</v>
      </c>
    </row>
    <row r="245" spans="2:39" ht="15.75" customHeight="1">
      <c r="B245" s="96"/>
      <c r="C245" s="52" t="s">
        <v>13</v>
      </c>
      <c r="D245" s="55">
        <v>76</v>
      </c>
      <c r="E245" s="84">
        <f t="shared" ref="E245:E255" si="70">($C$203*D244)+((1-$C$203)*E244)</f>
        <v>113.57639990094492</v>
      </c>
      <c r="F245" s="46" t="s">
        <v>44</v>
      </c>
      <c r="G245" s="46" t="s">
        <v>44</v>
      </c>
      <c r="H245" s="46" t="s">
        <v>44</v>
      </c>
      <c r="I245" s="46" t="s">
        <v>44</v>
      </c>
      <c r="J245" s="79" t="s">
        <v>44</v>
      </c>
      <c r="L245" s="96"/>
      <c r="M245" s="52" t="s">
        <v>13</v>
      </c>
      <c r="N245" s="55">
        <v>76</v>
      </c>
      <c r="O245" s="84">
        <f t="shared" ref="O245:O255" si="71">($C$203*N244)+((1-$C$203)*O244)</f>
        <v>112.48765635210819</v>
      </c>
      <c r="P245" s="46" t="s">
        <v>44</v>
      </c>
      <c r="Q245" s="46" t="s">
        <v>44</v>
      </c>
      <c r="R245" s="46" t="s">
        <v>44</v>
      </c>
      <c r="S245" s="46" t="s">
        <v>44</v>
      </c>
      <c r="T245" s="79" t="s">
        <v>44</v>
      </c>
      <c r="V245" s="96"/>
      <c r="W245" s="52" t="s">
        <v>13</v>
      </c>
      <c r="X245" s="55">
        <v>76</v>
      </c>
      <c r="Y245" s="84">
        <f t="shared" ref="Y245:Y255" si="72">($C$203*X244)+((1-$C$203)*Y244)</f>
        <v>111.30995823551686</v>
      </c>
      <c r="Z245" s="46" t="s">
        <v>44</v>
      </c>
      <c r="AA245" s="46" t="s">
        <v>44</v>
      </c>
      <c r="AB245" s="46" t="s">
        <v>44</v>
      </c>
      <c r="AC245" s="46" t="s">
        <v>44</v>
      </c>
      <c r="AD245" s="79" t="s">
        <v>44</v>
      </c>
    </row>
    <row r="246" spans="2:39" ht="15.75" customHeight="1">
      <c r="B246" s="96"/>
      <c r="C246" s="52" t="s">
        <v>14</v>
      </c>
      <c r="D246" s="55">
        <v>122.5</v>
      </c>
      <c r="E246" s="84">
        <f t="shared" si="70"/>
        <v>106.06111992075594</v>
      </c>
      <c r="F246" s="46" t="s">
        <v>44</v>
      </c>
      <c r="G246" s="46" t="s">
        <v>44</v>
      </c>
      <c r="H246" s="46" t="s">
        <v>44</v>
      </c>
      <c r="I246" s="46" t="s">
        <v>44</v>
      </c>
      <c r="J246" s="79" t="s">
        <v>44</v>
      </c>
      <c r="L246" s="96"/>
      <c r="M246" s="52" t="s">
        <v>14</v>
      </c>
      <c r="N246" s="55">
        <v>122.5</v>
      </c>
      <c r="O246" s="84">
        <f t="shared" si="71"/>
        <v>105.19012508168656</v>
      </c>
      <c r="P246" s="46" t="s">
        <v>44</v>
      </c>
      <c r="Q246" s="46" t="s">
        <v>44</v>
      </c>
      <c r="R246" s="46" t="s">
        <v>44</v>
      </c>
      <c r="S246" s="46" t="s">
        <v>44</v>
      </c>
      <c r="T246" s="79" t="s">
        <v>44</v>
      </c>
      <c r="V246" s="96"/>
      <c r="W246" s="52" t="s">
        <v>14</v>
      </c>
      <c r="X246" s="55">
        <v>122.5</v>
      </c>
      <c r="Y246" s="84">
        <f t="shared" si="72"/>
        <v>104.24796658841349</v>
      </c>
      <c r="Z246" s="46" t="s">
        <v>44</v>
      </c>
      <c r="AA246" s="46" t="s">
        <v>44</v>
      </c>
      <c r="AB246" s="46" t="s">
        <v>44</v>
      </c>
      <c r="AC246" s="46" t="s">
        <v>44</v>
      </c>
      <c r="AD246" s="79" t="s">
        <v>44</v>
      </c>
    </row>
    <row r="247" spans="2:39" ht="15.75" customHeight="1">
      <c r="B247" s="96"/>
      <c r="C247" s="52" t="s">
        <v>15</v>
      </c>
      <c r="D247" s="55">
        <v>110.8</v>
      </c>
      <c r="E247" s="84">
        <f t="shared" si="70"/>
        <v>109.34889593660476</v>
      </c>
      <c r="F247" s="46" t="s">
        <v>44</v>
      </c>
      <c r="G247" s="46" t="s">
        <v>44</v>
      </c>
      <c r="H247" s="46" t="s">
        <v>44</v>
      </c>
      <c r="I247" s="46" t="s">
        <v>44</v>
      </c>
      <c r="J247" s="79" t="s">
        <v>44</v>
      </c>
      <c r="L247" s="96"/>
      <c r="M247" s="52" t="s">
        <v>15</v>
      </c>
      <c r="N247" s="55">
        <v>110.8</v>
      </c>
      <c r="O247" s="84">
        <f t="shared" si="71"/>
        <v>108.65210006534926</v>
      </c>
      <c r="P247" s="46" t="s">
        <v>44</v>
      </c>
      <c r="Q247" s="46" t="s">
        <v>44</v>
      </c>
      <c r="R247" s="46" t="s">
        <v>44</v>
      </c>
      <c r="S247" s="46" t="s">
        <v>44</v>
      </c>
      <c r="T247" s="79" t="s">
        <v>44</v>
      </c>
      <c r="V247" s="96"/>
      <c r="W247" s="52" t="s">
        <v>15</v>
      </c>
      <c r="X247" s="58">
        <v>110.8</v>
      </c>
      <c r="Y247" s="84">
        <f t="shared" si="72"/>
        <v>107.8983732707308</v>
      </c>
      <c r="Z247" s="46" t="s">
        <v>44</v>
      </c>
      <c r="AA247" s="46" t="s">
        <v>44</v>
      </c>
      <c r="AB247" s="46" t="s">
        <v>44</v>
      </c>
      <c r="AC247" s="46" t="s">
        <v>44</v>
      </c>
      <c r="AD247" s="79" t="s">
        <v>44</v>
      </c>
    </row>
    <row r="248" spans="2:39" ht="15.75" customHeight="1">
      <c r="B248" s="96"/>
      <c r="C248" s="52" t="s">
        <v>16</v>
      </c>
      <c r="D248" s="55">
        <v>117</v>
      </c>
      <c r="E248" s="84">
        <f t="shared" si="70"/>
        <v>109.63911674928382</v>
      </c>
      <c r="F248" s="46" t="s">
        <v>44</v>
      </c>
      <c r="G248" s="46" t="s">
        <v>44</v>
      </c>
      <c r="H248" s="46" t="s">
        <v>44</v>
      </c>
      <c r="I248" s="46" t="s">
        <v>44</v>
      </c>
      <c r="J248" s="79" t="s">
        <v>44</v>
      </c>
      <c r="L248" s="96"/>
      <c r="M248" s="52" t="s">
        <v>16</v>
      </c>
      <c r="N248" s="55">
        <v>117</v>
      </c>
      <c r="O248" s="84">
        <f t="shared" si="71"/>
        <v>109.08168005227941</v>
      </c>
      <c r="P248" s="46" t="s">
        <v>44</v>
      </c>
      <c r="Q248" s="46" t="s">
        <v>44</v>
      </c>
      <c r="R248" s="46" t="s">
        <v>44</v>
      </c>
      <c r="S248" s="46" t="s">
        <v>44</v>
      </c>
      <c r="T248" s="79" t="s">
        <v>44</v>
      </c>
      <c r="V248" s="96"/>
      <c r="W248" s="52" t="s">
        <v>16</v>
      </c>
      <c r="X248" s="55">
        <v>117</v>
      </c>
      <c r="Y248" s="84">
        <f t="shared" si="72"/>
        <v>108.47869861658464</v>
      </c>
      <c r="Z248" s="46" t="s">
        <v>44</v>
      </c>
      <c r="AA248" s="46" t="s">
        <v>44</v>
      </c>
      <c r="AB248" s="46" t="s">
        <v>44</v>
      </c>
      <c r="AC248" s="46" t="s">
        <v>44</v>
      </c>
      <c r="AD248" s="79" t="s">
        <v>44</v>
      </c>
    </row>
    <row r="249" spans="2:39" ht="15.75" customHeight="1">
      <c r="B249" s="96"/>
      <c r="C249" s="52" t="s">
        <v>17</v>
      </c>
      <c r="D249" s="55">
        <v>126</v>
      </c>
      <c r="E249" s="84">
        <f t="shared" si="70"/>
        <v>111.11129339942707</v>
      </c>
      <c r="F249" s="46" t="s">
        <v>44</v>
      </c>
      <c r="G249" s="46" t="s">
        <v>44</v>
      </c>
      <c r="H249" s="46" t="s">
        <v>44</v>
      </c>
      <c r="I249" s="46" t="s">
        <v>44</v>
      </c>
      <c r="J249" s="79" t="s">
        <v>44</v>
      </c>
      <c r="L249" s="96"/>
      <c r="M249" s="52" t="s">
        <v>17</v>
      </c>
      <c r="N249" s="55">
        <v>126</v>
      </c>
      <c r="O249" s="84">
        <f t="shared" si="71"/>
        <v>110.66534404182354</v>
      </c>
      <c r="P249" s="46" t="s">
        <v>44</v>
      </c>
      <c r="Q249" s="46" t="s">
        <v>44</v>
      </c>
      <c r="R249" s="46" t="s">
        <v>44</v>
      </c>
      <c r="S249" s="46" t="s">
        <v>44</v>
      </c>
      <c r="T249" s="79" t="s">
        <v>44</v>
      </c>
      <c r="V249" s="96"/>
      <c r="W249" s="52" t="s">
        <v>17</v>
      </c>
      <c r="X249" s="55">
        <v>126</v>
      </c>
      <c r="Y249" s="84">
        <f t="shared" si="72"/>
        <v>110.18295889326772</v>
      </c>
      <c r="Z249" s="46" t="s">
        <v>44</v>
      </c>
      <c r="AA249" s="46" t="s">
        <v>44</v>
      </c>
      <c r="AB249" s="46" t="s">
        <v>44</v>
      </c>
      <c r="AC249" s="46" t="s">
        <v>44</v>
      </c>
      <c r="AD249" s="79" t="s">
        <v>44</v>
      </c>
    </row>
    <row r="250" spans="2:39" ht="15.75" customHeight="1">
      <c r="B250" s="96"/>
      <c r="C250" s="52" t="s">
        <v>18</v>
      </c>
      <c r="D250" s="58">
        <v>65</v>
      </c>
      <c r="E250" s="84">
        <f t="shared" si="70"/>
        <v>114.08903471954166</v>
      </c>
      <c r="F250" s="46" t="s">
        <v>44</v>
      </c>
      <c r="G250" s="46" t="s">
        <v>44</v>
      </c>
      <c r="H250" s="46" t="s">
        <v>44</v>
      </c>
      <c r="I250" s="46" t="s">
        <v>44</v>
      </c>
      <c r="J250" s="79" t="s">
        <v>44</v>
      </c>
      <c r="L250" s="96"/>
      <c r="M250" s="52" t="s">
        <v>18</v>
      </c>
      <c r="N250" s="58">
        <v>65</v>
      </c>
      <c r="O250" s="84">
        <f t="shared" si="71"/>
        <v>113.73227523345885</v>
      </c>
      <c r="P250" s="46" t="s">
        <v>44</v>
      </c>
      <c r="Q250" s="46" t="s">
        <v>44</v>
      </c>
      <c r="R250" s="46" t="s">
        <v>44</v>
      </c>
      <c r="S250" s="46" t="s">
        <v>44</v>
      </c>
      <c r="T250" s="79" t="s">
        <v>44</v>
      </c>
      <c r="V250" s="96"/>
      <c r="W250" s="52" t="s">
        <v>18</v>
      </c>
      <c r="X250" s="58">
        <v>65</v>
      </c>
      <c r="Y250" s="84">
        <f t="shared" si="72"/>
        <v>113.34636711461418</v>
      </c>
      <c r="Z250" s="46" t="s">
        <v>44</v>
      </c>
      <c r="AA250" s="46" t="s">
        <v>44</v>
      </c>
      <c r="AB250" s="46" t="s">
        <v>44</v>
      </c>
      <c r="AC250" s="46" t="s">
        <v>44</v>
      </c>
      <c r="AD250" s="79" t="s">
        <v>44</v>
      </c>
    </row>
    <row r="251" spans="2:39" ht="15.75" customHeight="1">
      <c r="B251" s="96"/>
      <c r="C251" s="52" t="s">
        <v>19</v>
      </c>
      <c r="D251" s="58">
        <v>70</v>
      </c>
      <c r="E251" s="84">
        <f t="shared" si="70"/>
        <v>104.27122777563333</v>
      </c>
      <c r="F251" s="46" t="s">
        <v>44</v>
      </c>
      <c r="G251" s="46" t="s">
        <v>44</v>
      </c>
      <c r="H251" s="46" t="s">
        <v>44</v>
      </c>
      <c r="I251" s="46" t="s">
        <v>44</v>
      </c>
      <c r="J251" s="79" t="s">
        <v>44</v>
      </c>
      <c r="L251" s="96"/>
      <c r="M251" s="52" t="s">
        <v>19</v>
      </c>
      <c r="N251" s="58">
        <v>70</v>
      </c>
      <c r="O251" s="84">
        <f t="shared" si="71"/>
        <v>103.98582018676709</v>
      </c>
      <c r="P251" s="46" t="s">
        <v>44</v>
      </c>
      <c r="Q251" s="46" t="s">
        <v>44</v>
      </c>
      <c r="R251" s="46" t="s">
        <v>44</v>
      </c>
      <c r="S251" s="46" t="s">
        <v>44</v>
      </c>
      <c r="T251" s="79" t="s">
        <v>44</v>
      </c>
      <c r="V251" s="96"/>
      <c r="W251" s="52" t="s">
        <v>19</v>
      </c>
      <c r="X251" s="58">
        <v>70</v>
      </c>
      <c r="Y251" s="84">
        <f t="shared" si="72"/>
        <v>103.67709369169135</v>
      </c>
      <c r="Z251" s="46" t="s">
        <v>44</v>
      </c>
      <c r="AA251" s="46" t="s">
        <v>44</v>
      </c>
      <c r="AB251" s="46" t="s">
        <v>44</v>
      </c>
      <c r="AC251" s="46" t="s">
        <v>44</v>
      </c>
      <c r="AD251" s="79" t="s">
        <v>44</v>
      </c>
    </row>
    <row r="252" spans="2:39" ht="15.75" customHeight="1">
      <c r="B252" s="96"/>
      <c r="C252" s="52" t="s">
        <v>20</v>
      </c>
      <c r="D252" s="58">
        <v>85.5</v>
      </c>
      <c r="E252" s="84">
        <f t="shared" si="70"/>
        <v>97.416982220506668</v>
      </c>
      <c r="F252" s="46" t="s">
        <v>44</v>
      </c>
      <c r="G252" s="46" t="s">
        <v>44</v>
      </c>
      <c r="H252" s="46" t="s">
        <v>44</v>
      </c>
      <c r="I252" s="46" t="s">
        <v>44</v>
      </c>
      <c r="J252" s="79" t="s">
        <v>44</v>
      </c>
      <c r="L252" s="96"/>
      <c r="M252" s="52" t="s">
        <v>20</v>
      </c>
      <c r="N252" s="58">
        <v>85.5</v>
      </c>
      <c r="O252" s="84">
        <f t="shared" si="71"/>
        <v>97.188656149413674</v>
      </c>
      <c r="P252" s="46" t="s">
        <v>44</v>
      </c>
      <c r="Q252" s="46" t="s">
        <v>44</v>
      </c>
      <c r="R252" s="46" t="s">
        <v>44</v>
      </c>
      <c r="S252" s="46" t="s">
        <v>44</v>
      </c>
      <c r="T252" s="79" t="s">
        <v>44</v>
      </c>
      <c r="V252" s="96"/>
      <c r="W252" s="52" t="s">
        <v>20</v>
      </c>
      <c r="X252" s="58">
        <v>85.5</v>
      </c>
      <c r="Y252" s="84">
        <f t="shared" si="72"/>
        <v>96.941674953353086</v>
      </c>
      <c r="Z252" s="46" t="s">
        <v>44</v>
      </c>
      <c r="AA252" s="46" t="s">
        <v>44</v>
      </c>
      <c r="AB252" s="46" t="s">
        <v>44</v>
      </c>
      <c r="AC252" s="46" t="s">
        <v>44</v>
      </c>
      <c r="AD252" s="79" t="s">
        <v>44</v>
      </c>
    </row>
    <row r="253" spans="2:39" ht="15.75" customHeight="1">
      <c r="B253" s="96"/>
      <c r="C253" s="52" t="s">
        <v>21</v>
      </c>
      <c r="D253" s="55">
        <v>109.5</v>
      </c>
      <c r="E253" s="84">
        <f t="shared" si="70"/>
        <v>95.033585776405346</v>
      </c>
      <c r="F253" s="46" t="s">
        <v>44</v>
      </c>
      <c r="G253" s="46" t="s">
        <v>44</v>
      </c>
      <c r="H253" s="46" t="s">
        <v>44</v>
      </c>
      <c r="I253" s="46" t="s">
        <v>44</v>
      </c>
      <c r="J253" s="79" t="s">
        <v>44</v>
      </c>
      <c r="L253" s="96"/>
      <c r="M253" s="52" t="s">
        <v>21</v>
      </c>
      <c r="N253" s="55">
        <v>109.5</v>
      </c>
      <c r="O253" s="84">
        <f t="shared" si="71"/>
        <v>94.850924919530939</v>
      </c>
      <c r="P253" s="46" t="s">
        <v>44</v>
      </c>
      <c r="Q253" s="46" t="s">
        <v>44</v>
      </c>
      <c r="R253" s="46" t="s">
        <v>44</v>
      </c>
      <c r="S253" s="46" t="s">
        <v>44</v>
      </c>
      <c r="T253" s="79" t="s">
        <v>44</v>
      </c>
      <c r="V253" s="96"/>
      <c r="W253" s="52" t="s">
        <v>21</v>
      </c>
      <c r="X253" s="55">
        <v>109.5</v>
      </c>
      <c r="Y253" s="84">
        <f t="shared" si="72"/>
        <v>94.65333996268248</v>
      </c>
      <c r="Z253" s="46" t="s">
        <v>44</v>
      </c>
      <c r="AA253" s="46" t="s">
        <v>44</v>
      </c>
      <c r="AB253" s="46" t="s">
        <v>44</v>
      </c>
      <c r="AC253" s="46" t="s">
        <v>44</v>
      </c>
      <c r="AD253" s="79" t="s">
        <v>44</v>
      </c>
    </row>
    <row r="254" spans="2:39" ht="15.75" customHeight="1">
      <c r="B254" s="96"/>
      <c r="C254" s="52" t="s">
        <v>22</v>
      </c>
      <c r="D254" s="58">
        <v>110</v>
      </c>
      <c r="E254" s="84">
        <f t="shared" si="70"/>
        <v>97.926868621124285</v>
      </c>
      <c r="F254" s="46" t="s">
        <v>44</v>
      </c>
      <c r="G254" s="46" t="s">
        <v>44</v>
      </c>
      <c r="H254" s="46" t="s">
        <v>44</v>
      </c>
      <c r="I254" s="46" t="s">
        <v>44</v>
      </c>
      <c r="J254" s="79" t="s">
        <v>44</v>
      </c>
      <c r="L254" s="96"/>
      <c r="M254" s="52" t="s">
        <v>22</v>
      </c>
      <c r="N254" s="58">
        <v>110</v>
      </c>
      <c r="O254" s="84">
        <f t="shared" si="71"/>
        <v>97.780739935624766</v>
      </c>
      <c r="P254" s="46" t="s">
        <v>44</v>
      </c>
      <c r="Q254" s="46" t="s">
        <v>44</v>
      </c>
      <c r="R254" s="46" t="s">
        <v>44</v>
      </c>
      <c r="S254" s="46" t="s">
        <v>44</v>
      </c>
      <c r="T254" s="79" t="s">
        <v>44</v>
      </c>
      <c r="V254" s="96"/>
      <c r="W254" s="52" t="s">
        <v>22</v>
      </c>
      <c r="X254" s="58">
        <v>110</v>
      </c>
      <c r="Y254" s="84">
        <f t="shared" si="72"/>
        <v>97.622671970145987</v>
      </c>
      <c r="Z254" s="46" t="s">
        <v>44</v>
      </c>
      <c r="AA254" s="46" t="s">
        <v>44</v>
      </c>
      <c r="AB254" s="46" t="s">
        <v>44</v>
      </c>
      <c r="AC254" s="46" t="s">
        <v>44</v>
      </c>
      <c r="AD254" s="79" t="s">
        <v>44</v>
      </c>
    </row>
    <row r="255" spans="2:39" ht="15.75" customHeight="1">
      <c r="B255" s="97"/>
      <c r="C255" s="52" t="s">
        <v>23</v>
      </c>
      <c r="D255" s="55">
        <v>151.5</v>
      </c>
      <c r="E255" s="84">
        <f t="shared" si="70"/>
        <v>100.34149489689943</v>
      </c>
      <c r="F255" s="46" t="s">
        <v>44</v>
      </c>
      <c r="G255" s="46" t="s">
        <v>44</v>
      </c>
      <c r="H255" s="46" t="s">
        <v>44</v>
      </c>
      <c r="I255" s="46" t="s">
        <v>44</v>
      </c>
      <c r="J255" s="79" t="s">
        <v>44</v>
      </c>
      <c r="L255" s="97"/>
      <c r="M255" s="52" t="s">
        <v>23</v>
      </c>
      <c r="N255" s="55">
        <v>151.5</v>
      </c>
      <c r="O255" s="84">
        <f t="shared" si="71"/>
        <v>100.22459194849982</v>
      </c>
      <c r="P255" s="46" t="s">
        <v>44</v>
      </c>
      <c r="Q255" s="46" t="s">
        <v>44</v>
      </c>
      <c r="R255" s="46" t="s">
        <v>44</v>
      </c>
      <c r="S255" s="46" t="s">
        <v>44</v>
      </c>
      <c r="T255" s="79" t="s">
        <v>44</v>
      </c>
      <c r="V255" s="97"/>
      <c r="W255" s="52" t="s">
        <v>23</v>
      </c>
      <c r="X255" s="55">
        <v>151.5</v>
      </c>
      <c r="Y255" s="84">
        <f t="shared" si="72"/>
        <v>100.0981375761168</v>
      </c>
      <c r="Z255" s="46" t="s">
        <v>44</v>
      </c>
      <c r="AA255" s="46" t="s">
        <v>44</v>
      </c>
      <c r="AB255" s="46" t="s">
        <v>44</v>
      </c>
      <c r="AC255" s="46" t="s">
        <v>44</v>
      </c>
      <c r="AD255" s="79" t="s">
        <v>44</v>
      </c>
    </row>
    <row r="256" spans="2:39" ht="15.75" customHeight="1">
      <c r="E256" s="66"/>
    </row>
    <row r="257" spans="3:26" ht="15.75" customHeight="1">
      <c r="E257" s="66"/>
    </row>
    <row r="258" spans="3:26" ht="15.75" customHeight="1">
      <c r="E258" s="66"/>
    </row>
    <row r="259" spans="3:26" ht="15.75" customHeight="1">
      <c r="E259" s="66"/>
    </row>
    <row r="260" spans="3:26" ht="15.75" customHeight="1">
      <c r="C260" s="104" t="s">
        <v>35</v>
      </c>
      <c r="D260" s="105">
        <f>G243</f>
        <v>658.11074188764451</v>
      </c>
      <c r="E260" s="105">
        <v>35</v>
      </c>
      <c r="F260" s="106">
        <f t="shared" ref="F260:F262" si="73">D260/E260</f>
        <v>18.803164053932701</v>
      </c>
      <c r="M260" s="104" t="s">
        <v>35</v>
      </c>
      <c r="N260" s="105">
        <f>Q243</f>
        <v>671.79932807730984</v>
      </c>
      <c r="O260" s="104">
        <v>35</v>
      </c>
      <c r="P260" s="106">
        <f t="shared" ref="P260:P262" si="74">N260/O260</f>
        <v>19.194266516494565</v>
      </c>
      <c r="W260" s="104" t="s">
        <v>35</v>
      </c>
      <c r="X260" s="105">
        <f>AA243</f>
        <v>682.78883490072565</v>
      </c>
      <c r="Y260" s="104">
        <v>35</v>
      </c>
      <c r="Z260" s="106">
        <f t="shared" ref="Z260:Z262" si="75">X260/Y260</f>
        <v>19.508252425735019</v>
      </c>
    </row>
    <row r="261" spans="3:26" ht="15.75" customHeight="1">
      <c r="C261" s="104" t="s">
        <v>6</v>
      </c>
      <c r="D261" s="105">
        <f>H243</f>
        <v>18740.507945238238</v>
      </c>
      <c r="E261" s="105">
        <v>35</v>
      </c>
      <c r="F261" s="106">
        <f t="shared" si="73"/>
        <v>535.44308414966395</v>
      </c>
      <c r="M261" s="104" t="s">
        <v>6</v>
      </c>
      <c r="N261" s="105">
        <f>R243</f>
        <v>19274.774828717062</v>
      </c>
      <c r="O261" s="104">
        <v>35</v>
      </c>
      <c r="P261" s="106">
        <f t="shared" si="74"/>
        <v>550.70785224905887</v>
      </c>
      <c r="W261" s="104" t="s">
        <v>6</v>
      </c>
      <c r="X261" s="105">
        <f>AB243</f>
        <v>19858.623709719082</v>
      </c>
      <c r="Y261" s="104">
        <v>35</v>
      </c>
      <c r="Z261" s="106">
        <f t="shared" si="75"/>
        <v>567.3892488491166</v>
      </c>
    </row>
    <row r="262" spans="3:26" ht="15.75" customHeight="1">
      <c r="C262" s="104" t="s">
        <v>7</v>
      </c>
      <c r="D262" s="105">
        <f>J243</f>
        <v>628.57848306128517</v>
      </c>
      <c r="E262" s="105">
        <v>35</v>
      </c>
      <c r="F262" s="106">
        <f t="shared" si="73"/>
        <v>17.959385230322432</v>
      </c>
      <c r="M262" s="104" t="s">
        <v>7</v>
      </c>
      <c r="N262" s="105">
        <f>T243</f>
        <v>641.76364996367954</v>
      </c>
      <c r="O262" s="104">
        <v>35</v>
      </c>
      <c r="P262" s="106">
        <f t="shared" si="74"/>
        <v>18.336104284676559</v>
      </c>
      <c r="W262" s="104" t="s">
        <v>7</v>
      </c>
      <c r="X262" s="105">
        <f>AD243</f>
        <v>651.4343907620547</v>
      </c>
      <c r="Y262" s="104">
        <v>35</v>
      </c>
      <c r="Z262" s="106">
        <f t="shared" si="75"/>
        <v>18.612411164630135</v>
      </c>
    </row>
    <row r="263" spans="3:26" ht="15.75" customHeight="1">
      <c r="E263" s="66"/>
    </row>
    <row r="264" spans="3:26" ht="15.75" customHeight="1">
      <c r="E264" s="66"/>
    </row>
    <row r="265" spans="3:26" ht="15.75" customHeight="1">
      <c r="E265" s="66"/>
    </row>
    <row r="266" spans="3:26" ht="15.75" customHeight="1">
      <c r="E266" s="66"/>
    </row>
    <row r="267" spans="3:26" ht="15.75" customHeight="1">
      <c r="E267" s="66"/>
    </row>
    <row r="268" spans="3:26" ht="15.75" customHeight="1">
      <c r="E268" s="66"/>
    </row>
    <row r="269" spans="3:26" ht="15.75" customHeight="1">
      <c r="E269" s="66"/>
    </row>
    <row r="270" spans="3:26" ht="15.75" customHeight="1">
      <c r="E270" s="66"/>
    </row>
    <row r="271" spans="3:26" ht="15.75" customHeight="1">
      <c r="E271" s="66"/>
    </row>
    <row r="272" spans="3:26" ht="15.75" customHeight="1">
      <c r="E272" s="66"/>
    </row>
    <row r="273" spans="5:5" ht="15.75" customHeight="1">
      <c r="E273" s="66"/>
    </row>
    <row r="274" spans="5:5" ht="15.75" customHeight="1">
      <c r="E274" s="66"/>
    </row>
    <row r="275" spans="5:5" ht="15.75" customHeight="1">
      <c r="E275" s="66"/>
    </row>
    <row r="276" spans="5:5" ht="15.75" customHeight="1">
      <c r="E276" s="66"/>
    </row>
    <row r="277" spans="5:5" ht="15.75" customHeight="1">
      <c r="E277" s="66"/>
    </row>
    <row r="278" spans="5:5" ht="15.75" customHeight="1">
      <c r="E278" s="66"/>
    </row>
    <row r="279" spans="5:5" ht="15.75" customHeight="1">
      <c r="E279" s="66"/>
    </row>
    <row r="280" spans="5:5" ht="15.75" customHeight="1">
      <c r="E280" s="66"/>
    </row>
    <row r="281" spans="5:5" ht="15.75" customHeight="1">
      <c r="E281" s="66"/>
    </row>
    <row r="282" spans="5:5" ht="15.75" customHeight="1">
      <c r="E282" s="66"/>
    </row>
    <row r="283" spans="5:5" ht="15.75" customHeight="1">
      <c r="E283" s="66"/>
    </row>
    <row r="284" spans="5:5" ht="15.75" customHeight="1">
      <c r="E284" s="66"/>
    </row>
    <row r="285" spans="5:5" ht="15.75" customHeight="1">
      <c r="E285" s="66"/>
    </row>
    <row r="286" spans="5:5" ht="15.75" customHeight="1">
      <c r="E286" s="66"/>
    </row>
    <row r="287" spans="5:5" ht="15.75" customHeight="1">
      <c r="E287" s="66"/>
    </row>
    <row r="288" spans="5:5" ht="15.75" customHeight="1">
      <c r="E288" s="66"/>
    </row>
    <row r="289" spans="5:5" ht="15.75" customHeight="1">
      <c r="E289" s="66"/>
    </row>
    <row r="290" spans="5:5" ht="15.75" customHeight="1">
      <c r="E290" s="66"/>
    </row>
    <row r="291" spans="5:5" ht="15.75" customHeight="1">
      <c r="E291" s="66"/>
    </row>
    <row r="292" spans="5:5" ht="15.75" customHeight="1">
      <c r="E292" s="66"/>
    </row>
    <row r="293" spans="5:5" ht="15.75" customHeight="1">
      <c r="E293" s="66"/>
    </row>
    <row r="294" spans="5:5" ht="15.75" customHeight="1">
      <c r="E294" s="66"/>
    </row>
    <row r="295" spans="5:5" ht="15.75" customHeight="1">
      <c r="E295" s="66"/>
    </row>
    <row r="296" spans="5:5" ht="15.75" customHeight="1">
      <c r="E296" s="66"/>
    </row>
    <row r="297" spans="5:5" ht="15.75" customHeight="1">
      <c r="E297" s="66"/>
    </row>
    <row r="298" spans="5:5" ht="15.75" customHeight="1">
      <c r="E298" s="66"/>
    </row>
    <row r="299" spans="5:5" ht="15.75" customHeight="1">
      <c r="E299" s="66"/>
    </row>
    <row r="300" spans="5:5" ht="15.75" customHeight="1">
      <c r="E300" s="66"/>
    </row>
    <row r="301" spans="5:5" ht="15.75" customHeight="1">
      <c r="E301" s="66"/>
    </row>
    <row r="302" spans="5:5" ht="15.75" customHeight="1">
      <c r="E302" s="66"/>
    </row>
    <row r="303" spans="5:5" ht="15.75" customHeight="1">
      <c r="E303" s="66"/>
    </row>
    <row r="304" spans="5:5" ht="15.75" customHeight="1">
      <c r="E304" s="66"/>
    </row>
    <row r="305" spans="5:5" ht="15.75" customHeight="1">
      <c r="E305" s="66"/>
    </row>
    <row r="306" spans="5:5" ht="15.75" customHeight="1">
      <c r="E306" s="66"/>
    </row>
    <row r="307" spans="5:5" ht="15.75" customHeight="1">
      <c r="E307" s="66"/>
    </row>
    <row r="308" spans="5:5" ht="15.75" customHeight="1">
      <c r="E308" s="66"/>
    </row>
    <row r="309" spans="5:5" ht="15.75" customHeight="1">
      <c r="E309" s="66"/>
    </row>
    <row r="310" spans="5:5" ht="15.75" customHeight="1">
      <c r="E310" s="66"/>
    </row>
    <row r="311" spans="5:5" ht="15.75" customHeight="1">
      <c r="E311" s="66"/>
    </row>
    <row r="312" spans="5:5" ht="15.75" customHeight="1">
      <c r="E312" s="66"/>
    </row>
    <row r="313" spans="5:5" ht="15.75" customHeight="1">
      <c r="E313" s="66"/>
    </row>
    <row r="314" spans="5:5" ht="15.75" customHeight="1">
      <c r="E314" s="66"/>
    </row>
    <row r="315" spans="5:5" ht="15.75" customHeight="1">
      <c r="E315" s="66"/>
    </row>
    <row r="316" spans="5:5" ht="15.75" customHeight="1">
      <c r="E316" s="66"/>
    </row>
    <row r="317" spans="5:5" ht="15.75" customHeight="1">
      <c r="E317" s="66"/>
    </row>
    <row r="318" spans="5:5" ht="15.75" customHeight="1">
      <c r="E318" s="66"/>
    </row>
    <row r="319" spans="5:5" ht="15.75" customHeight="1">
      <c r="E319" s="66"/>
    </row>
    <row r="320" spans="5:5" ht="15.75" customHeight="1">
      <c r="E320" s="66"/>
    </row>
    <row r="321" spans="5:5" ht="15.75" customHeight="1">
      <c r="E321" s="66"/>
    </row>
    <row r="322" spans="5:5" ht="15.75" customHeight="1">
      <c r="E322" s="66"/>
    </row>
    <row r="323" spans="5:5" ht="15.75" customHeight="1">
      <c r="E323" s="66"/>
    </row>
    <row r="324" spans="5:5" ht="15.75" customHeight="1">
      <c r="E324" s="66"/>
    </row>
    <row r="325" spans="5:5" ht="15.75" customHeight="1">
      <c r="E325" s="66"/>
    </row>
    <row r="326" spans="5:5" ht="15.75" customHeight="1">
      <c r="E326" s="66"/>
    </row>
    <row r="327" spans="5:5" ht="15.75" customHeight="1">
      <c r="E327" s="66"/>
    </row>
    <row r="328" spans="5:5" ht="15.75" customHeight="1">
      <c r="E328" s="66"/>
    </row>
    <row r="329" spans="5:5" ht="15.75" customHeight="1">
      <c r="E329" s="66"/>
    </row>
    <row r="330" spans="5:5" ht="15.75" customHeight="1">
      <c r="E330" s="66"/>
    </row>
    <row r="331" spans="5:5" ht="15.75" customHeight="1">
      <c r="E331" s="66"/>
    </row>
    <row r="332" spans="5:5" ht="15.75" customHeight="1">
      <c r="E332" s="66"/>
    </row>
    <row r="333" spans="5:5" ht="15.75" customHeight="1">
      <c r="E333" s="66"/>
    </row>
    <row r="334" spans="5:5" ht="15.75" customHeight="1">
      <c r="E334" s="66"/>
    </row>
    <row r="335" spans="5:5" ht="15.75" customHeight="1">
      <c r="E335" s="66"/>
    </row>
    <row r="336" spans="5:5" ht="15.75" customHeight="1">
      <c r="E336" s="66"/>
    </row>
    <row r="337" spans="3:8" ht="15.75" customHeight="1">
      <c r="E337" s="66"/>
    </row>
    <row r="338" spans="3:8" ht="15.75" customHeight="1">
      <c r="E338" s="66"/>
    </row>
    <row r="339" spans="3:8" ht="15.75" customHeight="1">
      <c r="E339" s="66"/>
    </row>
    <row r="340" spans="3:8" ht="15.75" customHeight="1">
      <c r="E340" s="66"/>
    </row>
    <row r="341" spans="3:8" ht="15.75" customHeight="1">
      <c r="E341" s="66"/>
    </row>
    <row r="342" spans="3:8" ht="15.75" customHeight="1">
      <c r="E342" s="66"/>
    </row>
    <row r="343" spans="3:8" ht="15.75" customHeight="1">
      <c r="E343" s="66"/>
    </row>
    <row r="344" spans="3:8" ht="15.75" customHeight="1">
      <c r="E344" s="66"/>
    </row>
    <row r="345" spans="3:8" ht="15.75" customHeight="1">
      <c r="E345" s="66"/>
    </row>
    <row r="346" spans="3:8" ht="15.75" customHeight="1">
      <c r="C346" s="2"/>
      <c r="E346" s="3"/>
      <c r="H346" s="6"/>
    </row>
    <row r="347" spans="3:8" ht="15.75" customHeight="1">
      <c r="C347" s="2"/>
      <c r="E347" s="3"/>
      <c r="H347" s="6"/>
    </row>
    <row r="348" spans="3:8" ht="15.75" customHeight="1">
      <c r="C348" s="2"/>
      <c r="E348" s="3"/>
      <c r="H348" s="6"/>
    </row>
    <row r="349" spans="3:8" ht="15.75" customHeight="1">
      <c r="C349" s="2"/>
      <c r="E349" s="3"/>
      <c r="H349" s="6"/>
    </row>
    <row r="350" spans="3:8" ht="15.75" customHeight="1">
      <c r="C350" s="2"/>
      <c r="E350" s="3"/>
      <c r="H350" s="6"/>
    </row>
    <row r="351" spans="3:8" ht="15.75" customHeight="1">
      <c r="C351" s="2"/>
      <c r="E351" s="3"/>
      <c r="H351" s="6"/>
    </row>
    <row r="352" spans="3:8" ht="15.75" customHeight="1">
      <c r="C352" s="2"/>
      <c r="E352" s="3"/>
      <c r="H352" s="6"/>
    </row>
    <row r="353" spans="3:8" ht="15.75" customHeight="1">
      <c r="C353" s="2"/>
      <c r="E353" s="3"/>
      <c r="H353" s="6"/>
    </row>
    <row r="354" spans="3:8" ht="15.75" customHeight="1">
      <c r="C354" s="2"/>
      <c r="E354" s="3"/>
      <c r="H354" s="6"/>
    </row>
    <row r="355" spans="3:8" ht="15.75" customHeight="1">
      <c r="C355" s="2"/>
      <c r="E355" s="3"/>
      <c r="H355" s="6"/>
    </row>
    <row r="356" spans="3:8" ht="15.75" customHeight="1">
      <c r="C356" s="2"/>
      <c r="E356" s="3"/>
      <c r="H356" s="6"/>
    </row>
    <row r="357" spans="3:8" ht="15.75" customHeight="1">
      <c r="C357" s="2"/>
      <c r="E357" s="3"/>
      <c r="H357" s="6"/>
    </row>
    <row r="358" spans="3:8" ht="15.75" customHeight="1">
      <c r="C358" s="2"/>
      <c r="E358" s="3"/>
      <c r="H358" s="6"/>
    </row>
    <row r="359" spans="3:8" ht="15.75" customHeight="1">
      <c r="C359" s="2"/>
      <c r="E359" s="3"/>
      <c r="H359" s="6"/>
    </row>
    <row r="360" spans="3:8" ht="15.75" customHeight="1">
      <c r="C360" s="2"/>
      <c r="E360" s="3"/>
      <c r="H360" s="6"/>
    </row>
    <row r="361" spans="3:8" ht="15.75" customHeight="1">
      <c r="C361" s="2"/>
      <c r="E361" s="3"/>
      <c r="H361" s="6"/>
    </row>
    <row r="362" spans="3:8" ht="15.75" customHeight="1">
      <c r="C362" s="2"/>
      <c r="E362" s="3"/>
      <c r="H362" s="6"/>
    </row>
    <row r="363" spans="3:8" ht="15.75" customHeight="1">
      <c r="C363" s="2"/>
      <c r="E363" s="3"/>
      <c r="H363" s="6"/>
    </row>
    <row r="364" spans="3:8" ht="15.75" customHeight="1">
      <c r="C364" s="2"/>
      <c r="E364" s="3"/>
      <c r="H364" s="6"/>
    </row>
    <row r="365" spans="3:8" ht="15.75" customHeight="1">
      <c r="C365" s="2"/>
      <c r="E365" s="3"/>
      <c r="H365" s="6"/>
    </row>
    <row r="366" spans="3:8" ht="15.75" customHeight="1">
      <c r="C366" s="2"/>
      <c r="E366" s="3"/>
      <c r="H366" s="6"/>
    </row>
    <row r="367" spans="3:8" ht="15.75" customHeight="1">
      <c r="C367" s="2"/>
      <c r="E367" s="3"/>
      <c r="H367" s="6"/>
    </row>
    <row r="368" spans="3:8" ht="15.75" customHeight="1">
      <c r="C368" s="2"/>
      <c r="E368" s="3"/>
      <c r="H368" s="6"/>
    </row>
    <row r="369" spans="3:8" ht="15.75" customHeight="1">
      <c r="C369" s="2"/>
      <c r="E369" s="3"/>
      <c r="H369" s="6"/>
    </row>
    <row r="370" spans="3:8" ht="15.75" customHeight="1">
      <c r="C370" s="2"/>
      <c r="E370" s="3"/>
      <c r="H370" s="6"/>
    </row>
    <row r="371" spans="3:8" ht="15.75" customHeight="1">
      <c r="C371" s="2"/>
      <c r="E371" s="3"/>
      <c r="H371" s="6"/>
    </row>
    <row r="372" spans="3:8" ht="15.75" customHeight="1">
      <c r="C372" s="2"/>
      <c r="E372" s="3"/>
      <c r="H372" s="6"/>
    </row>
    <row r="373" spans="3:8" ht="15.75" customHeight="1">
      <c r="C373" s="2"/>
      <c r="E373" s="3"/>
      <c r="H373" s="6"/>
    </row>
    <row r="374" spans="3:8" ht="15.75" customHeight="1">
      <c r="C374" s="2"/>
      <c r="E374" s="3"/>
      <c r="H374" s="6"/>
    </row>
    <row r="375" spans="3:8" ht="15.75" customHeight="1">
      <c r="C375" s="2"/>
      <c r="E375" s="3"/>
      <c r="H375" s="6"/>
    </row>
    <row r="376" spans="3:8" ht="15.75" customHeight="1">
      <c r="C376" s="2"/>
      <c r="E376" s="3"/>
      <c r="H376" s="6"/>
    </row>
    <row r="377" spans="3:8" ht="15.75" customHeight="1">
      <c r="C377" s="2"/>
      <c r="E377" s="3"/>
      <c r="H377" s="6"/>
    </row>
    <row r="378" spans="3:8" ht="15.75" customHeight="1">
      <c r="C378" s="2"/>
      <c r="E378" s="3"/>
      <c r="H378" s="6"/>
    </row>
    <row r="379" spans="3:8" ht="15.75" customHeight="1">
      <c r="C379" s="2"/>
      <c r="E379" s="3"/>
      <c r="H379" s="6"/>
    </row>
    <row r="380" spans="3:8" ht="15.75" customHeight="1">
      <c r="C380" s="2"/>
      <c r="E380" s="3"/>
      <c r="H380" s="6"/>
    </row>
    <row r="381" spans="3:8" ht="15.75" customHeight="1">
      <c r="C381" s="2"/>
      <c r="E381" s="3"/>
      <c r="H381" s="6"/>
    </row>
    <row r="382" spans="3:8" ht="15.75" customHeight="1">
      <c r="C382" s="2"/>
      <c r="E382" s="3"/>
      <c r="H382" s="6"/>
    </row>
    <row r="383" spans="3:8" ht="15.75" customHeight="1">
      <c r="C383" s="2"/>
      <c r="E383" s="3"/>
      <c r="H383" s="6"/>
    </row>
    <row r="384" spans="3:8" ht="15.75" customHeight="1">
      <c r="C384" s="2"/>
      <c r="E384" s="3"/>
      <c r="H384" s="6"/>
    </row>
    <row r="385" spans="3:8" ht="15.75" customHeight="1">
      <c r="C385" s="2"/>
      <c r="E385" s="3"/>
      <c r="H385" s="6"/>
    </row>
    <row r="386" spans="3:8" ht="15.75" customHeight="1">
      <c r="C386" s="2"/>
      <c r="E386" s="3"/>
      <c r="H386" s="6"/>
    </row>
    <row r="387" spans="3:8" ht="15.75" customHeight="1">
      <c r="C387" s="2"/>
      <c r="E387" s="3"/>
      <c r="H387" s="6"/>
    </row>
    <row r="388" spans="3:8" ht="15.75" customHeight="1">
      <c r="C388" s="2"/>
      <c r="E388" s="3"/>
      <c r="H388" s="6"/>
    </row>
    <row r="389" spans="3:8" ht="15.75" customHeight="1">
      <c r="C389" s="2"/>
      <c r="E389" s="3"/>
      <c r="H389" s="6"/>
    </row>
    <row r="390" spans="3:8" ht="15.75" customHeight="1">
      <c r="C390" s="2"/>
      <c r="E390" s="3"/>
      <c r="H390" s="6"/>
    </row>
    <row r="391" spans="3:8" ht="15.75" customHeight="1">
      <c r="C391" s="2"/>
      <c r="E391" s="3"/>
      <c r="H391" s="6"/>
    </row>
    <row r="392" spans="3:8" ht="15.75" customHeight="1">
      <c r="C392" s="2"/>
      <c r="E392" s="3"/>
      <c r="H392" s="6"/>
    </row>
    <row r="393" spans="3:8" ht="15.75" customHeight="1">
      <c r="C393" s="2"/>
      <c r="E393" s="3"/>
      <c r="H393" s="6"/>
    </row>
    <row r="394" spans="3:8" ht="15.75" customHeight="1">
      <c r="C394" s="2"/>
      <c r="E394" s="3"/>
      <c r="H394" s="6"/>
    </row>
    <row r="395" spans="3:8" ht="15.75" customHeight="1">
      <c r="C395" s="2"/>
      <c r="E395" s="3"/>
      <c r="H395" s="6"/>
    </row>
    <row r="396" spans="3:8" ht="15.75" customHeight="1">
      <c r="C396" s="2"/>
      <c r="E396" s="3"/>
      <c r="H396" s="6"/>
    </row>
    <row r="397" spans="3:8" ht="15.75" customHeight="1">
      <c r="C397" s="2"/>
      <c r="E397" s="3"/>
      <c r="H397" s="6"/>
    </row>
    <row r="398" spans="3:8" ht="15.75" customHeight="1">
      <c r="C398" s="2"/>
      <c r="E398" s="3"/>
      <c r="H398" s="6"/>
    </row>
    <row r="399" spans="3:8" ht="15.75" customHeight="1">
      <c r="C399" s="2"/>
      <c r="E399" s="3"/>
      <c r="H399" s="6"/>
    </row>
    <row r="400" spans="3:8" ht="15.75" customHeight="1">
      <c r="C400" s="2"/>
      <c r="E400" s="3"/>
      <c r="H400" s="6"/>
    </row>
    <row r="401" spans="3:8" ht="15.75" customHeight="1">
      <c r="C401" s="2"/>
      <c r="E401" s="3"/>
      <c r="H401" s="6"/>
    </row>
    <row r="402" spans="3:8" ht="15.75" customHeight="1">
      <c r="C402" s="2"/>
      <c r="E402" s="3"/>
      <c r="H402" s="6"/>
    </row>
    <row r="403" spans="3:8" ht="15.75" customHeight="1">
      <c r="C403" s="2"/>
      <c r="E403" s="3"/>
      <c r="H403" s="6"/>
    </row>
    <row r="404" spans="3:8" ht="15.75" customHeight="1">
      <c r="C404" s="2"/>
      <c r="E404" s="3"/>
      <c r="H404" s="6"/>
    </row>
    <row r="405" spans="3:8" ht="15.75" customHeight="1">
      <c r="C405" s="2"/>
      <c r="E405" s="3"/>
      <c r="H405" s="6"/>
    </row>
    <row r="406" spans="3:8" ht="15.75" customHeight="1">
      <c r="C406" s="2"/>
      <c r="E406" s="3"/>
      <c r="H406" s="6"/>
    </row>
    <row r="407" spans="3:8" ht="15.75" customHeight="1">
      <c r="C407" s="2"/>
      <c r="E407" s="3"/>
      <c r="H407" s="6"/>
    </row>
    <row r="408" spans="3:8" ht="15.75" customHeight="1">
      <c r="C408" s="2"/>
      <c r="E408" s="3"/>
      <c r="H408" s="6"/>
    </row>
    <row r="409" spans="3:8" ht="15.75" customHeight="1">
      <c r="C409" s="2"/>
      <c r="E409" s="3"/>
      <c r="H409" s="6"/>
    </row>
    <row r="410" spans="3:8" ht="15.75" customHeight="1">
      <c r="C410" s="2"/>
      <c r="E410" s="3"/>
      <c r="H410" s="6"/>
    </row>
    <row r="411" spans="3:8" ht="15.75" customHeight="1">
      <c r="C411" s="2"/>
      <c r="E411" s="3"/>
      <c r="H411" s="6"/>
    </row>
    <row r="412" spans="3:8" ht="15.75" customHeight="1">
      <c r="C412" s="2"/>
      <c r="E412" s="3"/>
      <c r="H412" s="6"/>
    </row>
    <row r="413" spans="3:8" ht="15.75" customHeight="1">
      <c r="C413" s="2"/>
      <c r="E413" s="3"/>
      <c r="H413" s="6"/>
    </row>
    <row r="414" spans="3:8" ht="15.75" customHeight="1">
      <c r="C414" s="2"/>
      <c r="E414" s="3"/>
      <c r="H414" s="6"/>
    </row>
    <row r="415" spans="3:8" ht="15.75" customHeight="1">
      <c r="C415" s="2"/>
      <c r="E415" s="3"/>
      <c r="H415" s="6"/>
    </row>
    <row r="416" spans="3:8" ht="15.75" customHeight="1">
      <c r="C416" s="2"/>
      <c r="E416" s="3"/>
      <c r="H416" s="6"/>
    </row>
    <row r="417" spans="3:8" ht="15.75" customHeight="1">
      <c r="C417" s="2"/>
      <c r="E417" s="3"/>
      <c r="H417" s="6"/>
    </row>
    <row r="418" spans="3:8" ht="15.75" customHeight="1">
      <c r="C418" s="2"/>
      <c r="E418" s="3"/>
      <c r="H418" s="6"/>
    </row>
    <row r="419" spans="3:8" ht="15.75" customHeight="1">
      <c r="C419" s="2"/>
      <c r="E419" s="3"/>
      <c r="H419" s="6"/>
    </row>
    <row r="420" spans="3:8" ht="15.75" customHeight="1">
      <c r="C420" s="2"/>
      <c r="E420" s="3"/>
      <c r="H420" s="6"/>
    </row>
    <row r="421" spans="3:8" ht="15.75" customHeight="1">
      <c r="C421" s="2"/>
      <c r="E421" s="3"/>
      <c r="H421" s="6"/>
    </row>
    <row r="422" spans="3:8" ht="15.75" customHeight="1">
      <c r="C422" s="2"/>
      <c r="E422" s="3"/>
      <c r="H422" s="6"/>
    </row>
    <row r="423" spans="3:8" ht="15.75" customHeight="1">
      <c r="C423" s="2"/>
      <c r="E423" s="3"/>
      <c r="H423" s="6"/>
    </row>
    <row r="424" spans="3:8" ht="15.75" customHeight="1">
      <c r="C424" s="2"/>
      <c r="E424" s="3"/>
      <c r="H424" s="6"/>
    </row>
    <row r="425" spans="3:8" ht="15.75" customHeight="1">
      <c r="C425" s="2"/>
      <c r="E425" s="3"/>
      <c r="H425" s="6"/>
    </row>
    <row r="426" spans="3:8" ht="15.75" customHeight="1">
      <c r="C426" s="2"/>
      <c r="E426" s="3"/>
      <c r="H426" s="6"/>
    </row>
    <row r="427" spans="3:8" ht="15.75" customHeight="1">
      <c r="C427" s="2"/>
      <c r="E427" s="3"/>
      <c r="H427" s="6"/>
    </row>
    <row r="428" spans="3:8" ht="15.75" customHeight="1">
      <c r="C428" s="2"/>
      <c r="E428" s="3"/>
      <c r="H428" s="6"/>
    </row>
    <row r="429" spans="3:8" ht="15.75" customHeight="1">
      <c r="C429" s="2"/>
      <c r="E429" s="3"/>
      <c r="H429" s="6"/>
    </row>
    <row r="430" spans="3:8" ht="15.75" customHeight="1">
      <c r="C430" s="2"/>
      <c r="E430" s="3"/>
      <c r="H430" s="6"/>
    </row>
    <row r="431" spans="3:8" ht="15.75" customHeight="1">
      <c r="C431" s="2"/>
      <c r="E431" s="3"/>
      <c r="H431" s="6"/>
    </row>
    <row r="432" spans="3:8" ht="15.75" customHeight="1">
      <c r="C432" s="2"/>
      <c r="E432" s="3"/>
      <c r="H432" s="6"/>
    </row>
    <row r="433" spans="3:8" ht="15.75" customHeight="1">
      <c r="C433" s="2"/>
      <c r="E433" s="3"/>
      <c r="H433" s="6"/>
    </row>
    <row r="434" spans="3:8" ht="15.75" customHeight="1">
      <c r="C434" s="2"/>
      <c r="E434" s="3"/>
      <c r="H434" s="6"/>
    </row>
    <row r="435" spans="3:8" ht="15.75" customHeight="1">
      <c r="C435" s="2"/>
      <c r="E435" s="3"/>
      <c r="H435" s="6"/>
    </row>
    <row r="436" spans="3:8" ht="15.75" customHeight="1">
      <c r="C436" s="2"/>
      <c r="E436" s="3"/>
      <c r="H436" s="6"/>
    </row>
    <row r="437" spans="3:8" ht="15.75" customHeight="1">
      <c r="C437" s="2"/>
      <c r="E437" s="3"/>
      <c r="H437" s="6"/>
    </row>
    <row r="438" spans="3:8" ht="15.75" customHeight="1">
      <c r="C438" s="2"/>
      <c r="E438" s="3"/>
      <c r="H438" s="6"/>
    </row>
    <row r="439" spans="3:8" ht="15.75" customHeight="1">
      <c r="C439" s="2"/>
      <c r="E439" s="3"/>
      <c r="H439" s="6"/>
    </row>
    <row r="440" spans="3:8" ht="15.75" customHeight="1">
      <c r="C440" s="2"/>
      <c r="E440" s="3"/>
      <c r="H440" s="6"/>
    </row>
    <row r="441" spans="3:8" ht="15.75" customHeight="1">
      <c r="C441" s="2"/>
      <c r="E441" s="3"/>
      <c r="H441" s="6"/>
    </row>
    <row r="442" spans="3:8" ht="15.75" customHeight="1">
      <c r="C442" s="2"/>
      <c r="E442" s="3"/>
      <c r="H442" s="6"/>
    </row>
    <row r="443" spans="3:8" ht="15.75" customHeight="1">
      <c r="C443" s="2"/>
      <c r="E443" s="3"/>
      <c r="H443" s="6"/>
    </row>
    <row r="444" spans="3:8" ht="15.75" customHeight="1">
      <c r="C444" s="2"/>
      <c r="E444" s="3"/>
      <c r="H444" s="6"/>
    </row>
    <row r="445" spans="3:8" ht="15.75" customHeight="1">
      <c r="C445" s="2"/>
      <c r="E445" s="3"/>
      <c r="H445" s="6"/>
    </row>
    <row r="446" spans="3:8" ht="15.75" customHeight="1">
      <c r="C446" s="2"/>
      <c r="E446" s="3"/>
      <c r="H446" s="6"/>
    </row>
    <row r="447" spans="3:8" ht="15.75" customHeight="1">
      <c r="C447" s="2"/>
      <c r="E447" s="3"/>
      <c r="H447" s="6"/>
    </row>
    <row r="448" spans="3:8" ht="15.75" customHeight="1">
      <c r="C448" s="2"/>
      <c r="E448" s="3"/>
      <c r="H448" s="6"/>
    </row>
    <row r="449" spans="3:8" ht="15.75" customHeight="1">
      <c r="C449" s="2"/>
      <c r="E449" s="3"/>
      <c r="H449" s="6"/>
    </row>
    <row r="450" spans="3:8" ht="15.75" customHeight="1">
      <c r="C450" s="2"/>
      <c r="E450" s="3"/>
      <c r="H450" s="6"/>
    </row>
    <row r="451" spans="3:8" ht="15.75" customHeight="1">
      <c r="C451" s="2"/>
      <c r="E451" s="3"/>
      <c r="H451" s="6"/>
    </row>
    <row r="452" spans="3:8" ht="15.75" customHeight="1">
      <c r="C452" s="2"/>
      <c r="E452" s="3"/>
      <c r="H452" s="6"/>
    </row>
    <row r="453" spans="3:8" ht="15.75" customHeight="1">
      <c r="C453" s="2"/>
      <c r="E453" s="3"/>
      <c r="H453" s="6"/>
    </row>
    <row r="454" spans="3:8" ht="15.75" customHeight="1">
      <c r="C454" s="2"/>
      <c r="E454" s="3"/>
      <c r="H454" s="6"/>
    </row>
    <row r="455" spans="3:8" ht="15.75" customHeight="1">
      <c r="C455" s="2"/>
      <c r="E455" s="3"/>
      <c r="H455" s="6"/>
    </row>
    <row r="456" spans="3:8" ht="15.75" customHeight="1">
      <c r="C456" s="2"/>
      <c r="E456" s="3"/>
      <c r="H456" s="6"/>
    </row>
    <row r="457" spans="3:8" ht="15.75" customHeight="1">
      <c r="C457" s="2"/>
      <c r="E457" s="3"/>
      <c r="H457" s="6"/>
    </row>
    <row r="458" spans="3:8" ht="15.75" customHeight="1">
      <c r="C458" s="2"/>
      <c r="E458" s="3"/>
      <c r="H458" s="6"/>
    </row>
    <row r="459" spans="3:8" ht="15.75" customHeight="1">
      <c r="C459" s="2"/>
      <c r="E459" s="3"/>
      <c r="H459" s="6"/>
    </row>
    <row r="460" spans="3:8" ht="15.75" customHeight="1">
      <c r="C460" s="2"/>
      <c r="E460" s="3"/>
      <c r="H460" s="6"/>
    </row>
    <row r="461" spans="3:8" ht="15.75" customHeight="1">
      <c r="C461" s="2"/>
      <c r="E461" s="3"/>
      <c r="H461" s="6"/>
    </row>
    <row r="462" spans="3:8" ht="15.75" customHeight="1">
      <c r="C462" s="2"/>
      <c r="E462" s="3"/>
      <c r="H462" s="6"/>
    </row>
    <row r="463" spans="3:8" ht="15.75" customHeight="1">
      <c r="C463" s="2"/>
      <c r="E463" s="3"/>
      <c r="H463" s="6"/>
    </row>
    <row r="464" spans="3:8" ht="15.75" customHeight="1">
      <c r="C464" s="2"/>
      <c r="E464" s="3"/>
      <c r="H464" s="6"/>
    </row>
    <row r="465" spans="3:8" ht="15.75" customHeight="1">
      <c r="C465" s="2"/>
      <c r="E465" s="3"/>
      <c r="H465" s="6"/>
    </row>
    <row r="466" spans="3:8" ht="15.75" customHeight="1">
      <c r="C466" s="2"/>
      <c r="E466" s="3"/>
      <c r="H466" s="6"/>
    </row>
    <row r="467" spans="3:8" ht="15.75" customHeight="1">
      <c r="C467" s="2"/>
      <c r="E467" s="3"/>
      <c r="H467" s="6"/>
    </row>
    <row r="468" spans="3:8" ht="15.75" customHeight="1">
      <c r="C468" s="2"/>
      <c r="E468" s="3"/>
      <c r="H468" s="6"/>
    </row>
    <row r="469" spans="3:8" ht="15.75" customHeight="1">
      <c r="C469" s="2"/>
      <c r="E469" s="3"/>
      <c r="H469" s="6"/>
    </row>
    <row r="470" spans="3:8" ht="15.75" customHeight="1">
      <c r="C470" s="2"/>
      <c r="E470" s="3"/>
      <c r="H470" s="6"/>
    </row>
    <row r="471" spans="3:8" ht="15.75" customHeight="1">
      <c r="C471" s="2"/>
      <c r="E471" s="3"/>
      <c r="H471" s="6"/>
    </row>
    <row r="472" spans="3:8" ht="15.75" customHeight="1">
      <c r="C472" s="2"/>
      <c r="E472" s="3"/>
      <c r="H472" s="6"/>
    </row>
    <row r="473" spans="3:8" ht="15.75" customHeight="1">
      <c r="C473" s="2"/>
      <c r="E473" s="3"/>
      <c r="H473" s="6"/>
    </row>
    <row r="474" spans="3:8" ht="15.75" customHeight="1">
      <c r="C474" s="2"/>
      <c r="E474" s="3"/>
      <c r="H474" s="6"/>
    </row>
    <row r="475" spans="3:8" ht="15.75" customHeight="1">
      <c r="C475" s="2"/>
      <c r="E475" s="3"/>
      <c r="H475" s="6"/>
    </row>
    <row r="476" spans="3:8" ht="15.75" customHeight="1">
      <c r="C476" s="2"/>
      <c r="E476" s="3"/>
      <c r="H476" s="6"/>
    </row>
    <row r="477" spans="3:8" ht="15.75" customHeight="1">
      <c r="C477" s="2"/>
      <c r="E477" s="3"/>
      <c r="H477" s="6"/>
    </row>
    <row r="478" spans="3:8" ht="15.75" customHeight="1">
      <c r="C478" s="2"/>
      <c r="E478" s="3"/>
      <c r="H478" s="6"/>
    </row>
    <row r="479" spans="3:8" ht="15.75" customHeight="1">
      <c r="C479" s="2"/>
      <c r="E479" s="3"/>
      <c r="H479" s="6"/>
    </row>
    <row r="480" spans="3:8" ht="15.75" customHeight="1">
      <c r="C480" s="2"/>
      <c r="E480" s="3"/>
      <c r="H480" s="6"/>
    </row>
    <row r="481" spans="3:8" ht="15.75" customHeight="1">
      <c r="C481" s="2"/>
      <c r="E481" s="3"/>
      <c r="H481" s="6"/>
    </row>
    <row r="482" spans="3:8" ht="15.75" customHeight="1">
      <c r="C482" s="2"/>
      <c r="E482" s="3"/>
      <c r="H482" s="6"/>
    </row>
    <row r="483" spans="3:8" ht="15.75" customHeight="1">
      <c r="C483" s="2"/>
      <c r="E483" s="3"/>
      <c r="H483" s="6"/>
    </row>
    <row r="484" spans="3:8" ht="15.75" customHeight="1">
      <c r="C484" s="2"/>
      <c r="E484" s="3"/>
      <c r="H484" s="6"/>
    </row>
    <row r="485" spans="3:8" ht="15.75" customHeight="1">
      <c r="C485" s="2"/>
      <c r="E485" s="3"/>
      <c r="H485" s="6"/>
    </row>
    <row r="486" spans="3:8" ht="15.75" customHeight="1">
      <c r="C486" s="2"/>
      <c r="E486" s="3"/>
      <c r="H486" s="6"/>
    </row>
    <row r="487" spans="3:8" ht="15.75" customHeight="1">
      <c r="C487" s="2"/>
      <c r="E487" s="3"/>
      <c r="H487" s="6"/>
    </row>
    <row r="488" spans="3:8" ht="15.75" customHeight="1">
      <c r="C488" s="2"/>
      <c r="E488" s="3"/>
      <c r="H488" s="6"/>
    </row>
    <row r="489" spans="3:8" ht="15.75" customHeight="1">
      <c r="C489" s="2"/>
      <c r="E489" s="3"/>
      <c r="H489" s="6"/>
    </row>
    <row r="490" spans="3:8" ht="15.75" customHeight="1">
      <c r="C490" s="2"/>
      <c r="E490" s="3"/>
      <c r="H490" s="6"/>
    </row>
    <row r="491" spans="3:8" ht="15.75" customHeight="1">
      <c r="C491" s="2"/>
      <c r="E491" s="3"/>
      <c r="H491" s="6"/>
    </row>
    <row r="492" spans="3:8" ht="15.75" customHeight="1">
      <c r="C492" s="2"/>
      <c r="E492" s="3"/>
      <c r="H492" s="6"/>
    </row>
    <row r="493" spans="3:8" ht="15.75" customHeight="1">
      <c r="C493" s="2"/>
      <c r="E493" s="3"/>
      <c r="H493" s="6"/>
    </row>
    <row r="494" spans="3:8" ht="15.75" customHeight="1">
      <c r="C494" s="2"/>
      <c r="E494" s="3"/>
      <c r="H494" s="6"/>
    </row>
    <row r="495" spans="3:8" ht="15.75" customHeight="1">
      <c r="C495" s="2"/>
      <c r="E495" s="3"/>
      <c r="H495" s="6"/>
    </row>
    <row r="496" spans="3:8" ht="15.75" customHeight="1">
      <c r="C496" s="2"/>
      <c r="E496" s="3"/>
      <c r="H496" s="6"/>
    </row>
    <row r="497" spans="3:8" ht="15.75" customHeight="1">
      <c r="C497" s="2"/>
      <c r="E497" s="3"/>
      <c r="H497" s="6"/>
    </row>
    <row r="498" spans="3:8" ht="15.75" customHeight="1">
      <c r="C498" s="2"/>
      <c r="E498" s="3"/>
      <c r="H498" s="6"/>
    </row>
    <row r="499" spans="3:8" ht="15.75" customHeight="1">
      <c r="C499" s="2"/>
      <c r="E499" s="3"/>
      <c r="H499" s="6"/>
    </row>
    <row r="500" spans="3:8" ht="15.75" customHeight="1">
      <c r="C500" s="2"/>
      <c r="E500" s="3"/>
      <c r="H500" s="6"/>
    </row>
    <row r="501" spans="3:8" ht="15.75" customHeight="1">
      <c r="C501" s="2"/>
      <c r="E501" s="3"/>
      <c r="H501" s="6"/>
    </row>
    <row r="502" spans="3:8" ht="15.75" customHeight="1">
      <c r="C502" s="2"/>
      <c r="E502" s="3"/>
      <c r="H502" s="6"/>
    </row>
    <row r="503" spans="3:8" ht="15.75" customHeight="1">
      <c r="C503" s="2"/>
      <c r="E503" s="3"/>
      <c r="H503" s="6"/>
    </row>
    <row r="504" spans="3:8" ht="15.75" customHeight="1">
      <c r="C504" s="2"/>
      <c r="E504" s="3"/>
      <c r="H504" s="6"/>
    </row>
    <row r="505" spans="3:8" ht="15.75" customHeight="1">
      <c r="C505" s="2"/>
      <c r="E505" s="3"/>
      <c r="H505" s="6"/>
    </row>
    <row r="506" spans="3:8" ht="15.75" customHeight="1">
      <c r="C506" s="2"/>
      <c r="E506" s="3"/>
      <c r="H506" s="6"/>
    </row>
    <row r="507" spans="3:8" ht="15.75" customHeight="1">
      <c r="C507" s="2"/>
      <c r="E507" s="3"/>
      <c r="H507" s="6"/>
    </row>
    <row r="508" spans="3:8" ht="15.75" customHeight="1">
      <c r="C508" s="2"/>
      <c r="E508" s="3"/>
      <c r="H508" s="6"/>
    </row>
    <row r="509" spans="3:8" ht="15.75" customHeight="1">
      <c r="C509" s="2"/>
      <c r="E509" s="3"/>
      <c r="H509" s="6"/>
    </row>
    <row r="510" spans="3:8" ht="15.75" customHeight="1">
      <c r="C510" s="2"/>
      <c r="E510" s="3"/>
      <c r="H510" s="6"/>
    </row>
    <row r="511" spans="3:8" ht="15.75" customHeight="1">
      <c r="C511" s="2"/>
      <c r="E511" s="3"/>
      <c r="H511" s="6"/>
    </row>
    <row r="512" spans="3:8" ht="15.75" customHeight="1">
      <c r="C512" s="2"/>
      <c r="E512" s="3"/>
      <c r="H512" s="6"/>
    </row>
    <row r="513" spans="3:8" ht="15.75" customHeight="1">
      <c r="C513" s="2"/>
      <c r="E513" s="3"/>
      <c r="H513" s="6"/>
    </row>
    <row r="514" spans="3:8" ht="15.75" customHeight="1">
      <c r="C514" s="2"/>
      <c r="E514" s="3"/>
      <c r="H514" s="6"/>
    </row>
    <row r="515" spans="3:8" ht="15.75" customHeight="1">
      <c r="C515" s="2"/>
      <c r="E515" s="3"/>
      <c r="H515" s="6"/>
    </row>
    <row r="516" spans="3:8" ht="15.75" customHeight="1">
      <c r="C516" s="2"/>
      <c r="E516" s="3"/>
      <c r="H516" s="6"/>
    </row>
    <row r="517" spans="3:8" ht="15.75" customHeight="1">
      <c r="C517" s="2"/>
      <c r="E517" s="3"/>
      <c r="H517" s="6"/>
    </row>
    <row r="518" spans="3:8" ht="15.75" customHeight="1">
      <c r="C518" s="2"/>
      <c r="E518" s="3"/>
      <c r="H518" s="6"/>
    </row>
    <row r="519" spans="3:8" ht="15.75" customHeight="1">
      <c r="C519" s="2"/>
      <c r="E519" s="3"/>
      <c r="H519" s="6"/>
    </row>
    <row r="520" spans="3:8" ht="15.75" customHeight="1">
      <c r="C520" s="2"/>
      <c r="E520" s="3"/>
      <c r="H520" s="6"/>
    </row>
    <row r="521" spans="3:8" ht="15.75" customHeight="1">
      <c r="C521" s="2"/>
      <c r="E521" s="3"/>
      <c r="H521" s="6"/>
    </row>
    <row r="522" spans="3:8" ht="15.75" customHeight="1">
      <c r="C522" s="2"/>
      <c r="E522" s="3"/>
      <c r="H522" s="6"/>
    </row>
    <row r="523" spans="3:8" ht="15.75" customHeight="1">
      <c r="C523" s="2"/>
      <c r="E523" s="3"/>
      <c r="H523" s="6"/>
    </row>
    <row r="524" spans="3:8" ht="15.75" customHeight="1">
      <c r="C524" s="2"/>
      <c r="E524" s="3"/>
      <c r="H524" s="6"/>
    </row>
    <row r="525" spans="3:8" ht="15.75" customHeight="1">
      <c r="C525" s="2"/>
      <c r="E525" s="3"/>
      <c r="H525" s="6"/>
    </row>
    <row r="526" spans="3:8" ht="15.75" customHeight="1">
      <c r="C526" s="2"/>
      <c r="E526" s="3"/>
      <c r="H526" s="6"/>
    </row>
    <row r="527" spans="3:8" ht="15.75" customHeight="1">
      <c r="C527" s="2"/>
      <c r="E527" s="3"/>
      <c r="H527" s="6"/>
    </row>
    <row r="528" spans="3:8" ht="15.75" customHeight="1">
      <c r="C528" s="2"/>
      <c r="E528" s="3"/>
      <c r="H528" s="6"/>
    </row>
    <row r="529" spans="3:8" ht="15.75" customHeight="1">
      <c r="C529" s="2"/>
      <c r="E529" s="3"/>
      <c r="H529" s="6"/>
    </row>
    <row r="530" spans="3:8" ht="15.75" customHeight="1">
      <c r="C530" s="2"/>
      <c r="E530" s="3"/>
      <c r="H530" s="6"/>
    </row>
    <row r="531" spans="3:8" ht="15.75" customHeight="1">
      <c r="C531" s="2"/>
      <c r="E531" s="3"/>
      <c r="H531" s="6"/>
    </row>
    <row r="532" spans="3:8" ht="15.75" customHeight="1">
      <c r="C532" s="2"/>
      <c r="E532" s="3"/>
      <c r="H532" s="6"/>
    </row>
    <row r="533" spans="3:8" ht="15.75" customHeight="1">
      <c r="C533" s="2"/>
      <c r="E533" s="3"/>
      <c r="H533" s="6"/>
    </row>
    <row r="534" spans="3:8" ht="15.75" customHeight="1">
      <c r="C534" s="2"/>
      <c r="E534" s="3"/>
      <c r="H534" s="6"/>
    </row>
    <row r="535" spans="3:8" ht="15.75" customHeight="1">
      <c r="C535" s="2"/>
      <c r="E535" s="3"/>
      <c r="H535" s="6"/>
    </row>
    <row r="536" spans="3:8" ht="15.75" customHeight="1">
      <c r="C536" s="2"/>
      <c r="E536" s="3"/>
      <c r="H536" s="6"/>
    </row>
    <row r="537" spans="3:8" ht="15.75" customHeight="1">
      <c r="C537" s="2"/>
      <c r="E537" s="3"/>
      <c r="H537" s="6"/>
    </row>
    <row r="538" spans="3:8" ht="15.75" customHeight="1">
      <c r="C538" s="2"/>
      <c r="E538" s="3"/>
      <c r="H538" s="6"/>
    </row>
    <row r="539" spans="3:8" ht="15.75" customHeight="1">
      <c r="C539" s="2"/>
      <c r="E539" s="3"/>
      <c r="H539" s="6"/>
    </row>
    <row r="540" spans="3:8" ht="15.75" customHeight="1">
      <c r="C540" s="2"/>
      <c r="E540" s="3"/>
      <c r="H540" s="6"/>
    </row>
    <row r="541" spans="3:8" ht="15.75" customHeight="1">
      <c r="C541" s="2"/>
      <c r="E541" s="3"/>
      <c r="H541" s="6"/>
    </row>
    <row r="542" spans="3:8" ht="15.75" customHeight="1">
      <c r="C542" s="2"/>
      <c r="E542" s="3"/>
      <c r="H542" s="6"/>
    </row>
    <row r="543" spans="3:8" ht="15.75" customHeight="1">
      <c r="C543" s="2"/>
      <c r="E543" s="3"/>
      <c r="H543" s="6"/>
    </row>
    <row r="544" spans="3:8" ht="15.75" customHeight="1">
      <c r="C544" s="2"/>
      <c r="E544" s="3"/>
      <c r="H544" s="6"/>
    </row>
    <row r="545" spans="3:8" ht="15.75" customHeight="1">
      <c r="C545" s="2"/>
      <c r="E545" s="3"/>
      <c r="H545" s="6"/>
    </row>
    <row r="546" spans="3:8" ht="15.75" customHeight="1">
      <c r="C546" s="2"/>
      <c r="E546" s="3"/>
      <c r="H546" s="6"/>
    </row>
    <row r="547" spans="3:8" ht="15.75" customHeight="1">
      <c r="C547" s="2"/>
      <c r="E547" s="3"/>
      <c r="H547" s="6"/>
    </row>
    <row r="548" spans="3:8" ht="15.75" customHeight="1">
      <c r="C548" s="2"/>
      <c r="E548" s="3"/>
      <c r="H548" s="6"/>
    </row>
    <row r="549" spans="3:8" ht="15.75" customHeight="1">
      <c r="C549" s="2"/>
      <c r="E549" s="3"/>
      <c r="H549" s="6"/>
    </row>
    <row r="550" spans="3:8" ht="15.75" customHeight="1">
      <c r="C550" s="2"/>
      <c r="E550" s="3"/>
      <c r="H550" s="6"/>
    </row>
    <row r="551" spans="3:8" ht="15.75" customHeight="1">
      <c r="C551" s="2"/>
      <c r="E551" s="3"/>
      <c r="H551" s="6"/>
    </row>
    <row r="552" spans="3:8" ht="15.75" customHeight="1">
      <c r="C552" s="2"/>
      <c r="E552" s="3"/>
      <c r="H552" s="6"/>
    </row>
    <row r="553" spans="3:8" ht="15.75" customHeight="1">
      <c r="C553" s="2"/>
      <c r="E553" s="3"/>
      <c r="H553" s="6"/>
    </row>
    <row r="554" spans="3:8" ht="15.75" customHeight="1">
      <c r="C554" s="2"/>
      <c r="E554" s="3"/>
      <c r="H554" s="6"/>
    </row>
    <row r="555" spans="3:8" ht="15.75" customHeight="1">
      <c r="C555" s="2"/>
      <c r="E555" s="3"/>
      <c r="H555" s="6"/>
    </row>
    <row r="556" spans="3:8" ht="15.75" customHeight="1">
      <c r="C556" s="2"/>
      <c r="E556" s="3"/>
      <c r="H556" s="6"/>
    </row>
    <row r="557" spans="3:8" ht="15.75" customHeight="1">
      <c r="C557" s="2"/>
      <c r="E557" s="3"/>
      <c r="H557" s="6"/>
    </row>
    <row r="558" spans="3:8" ht="15.75" customHeight="1">
      <c r="C558" s="2"/>
      <c r="E558" s="3"/>
      <c r="H558" s="6"/>
    </row>
    <row r="559" spans="3:8" ht="15.75" customHeight="1">
      <c r="C559" s="2"/>
      <c r="E559" s="3"/>
      <c r="H559" s="6"/>
    </row>
    <row r="560" spans="3:8" ht="15.75" customHeight="1">
      <c r="C560" s="2"/>
      <c r="E560" s="3"/>
      <c r="H560" s="6"/>
    </row>
    <row r="561" spans="3:8" ht="15.75" customHeight="1">
      <c r="C561" s="2"/>
      <c r="E561" s="3"/>
      <c r="H561" s="6"/>
    </row>
    <row r="562" spans="3:8" ht="15.75" customHeight="1">
      <c r="C562" s="2"/>
      <c r="E562" s="3"/>
      <c r="H562" s="6"/>
    </row>
    <row r="563" spans="3:8" ht="15.75" customHeight="1">
      <c r="C563" s="2"/>
      <c r="E563" s="3"/>
      <c r="H563" s="6"/>
    </row>
    <row r="564" spans="3:8" ht="15.75" customHeight="1">
      <c r="C564" s="2"/>
      <c r="E564" s="3"/>
      <c r="H564" s="6"/>
    </row>
    <row r="565" spans="3:8" ht="15.75" customHeight="1">
      <c r="C565" s="2"/>
      <c r="E565" s="3"/>
      <c r="H565" s="6"/>
    </row>
    <row r="566" spans="3:8" ht="15.75" customHeight="1">
      <c r="C566" s="2"/>
      <c r="E566" s="3"/>
      <c r="H566" s="6"/>
    </row>
    <row r="567" spans="3:8" ht="15.75" customHeight="1">
      <c r="C567" s="2"/>
      <c r="E567" s="3"/>
      <c r="H567" s="6"/>
    </row>
    <row r="568" spans="3:8" ht="15.75" customHeight="1">
      <c r="C568" s="2"/>
      <c r="E568" s="3"/>
      <c r="H568" s="6"/>
    </row>
    <row r="569" spans="3:8" ht="15.75" customHeight="1">
      <c r="C569" s="2"/>
      <c r="E569" s="3"/>
      <c r="H569" s="6"/>
    </row>
    <row r="570" spans="3:8" ht="15.75" customHeight="1">
      <c r="C570" s="2"/>
      <c r="E570" s="3"/>
      <c r="H570" s="6"/>
    </row>
    <row r="571" spans="3:8" ht="15.75" customHeight="1">
      <c r="C571" s="2"/>
      <c r="E571" s="3"/>
      <c r="H571" s="6"/>
    </row>
    <row r="572" spans="3:8" ht="15.75" customHeight="1">
      <c r="C572" s="2"/>
      <c r="E572" s="3"/>
      <c r="H572" s="6"/>
    </row>
    <row r="573" spans="3:8" ht="15.75" customHeight="1">
      <c r="C573" s="2"/>
      <c r="E573" s="3"/>
      <c r="H573" s="6"/>
    </row>
    <row r="574" spans="3:8" ht="15.75" customHeight="1">
      <c r="C574" s="2"/>
      <c r="E574" s="3"/>
      <c r="H574" s="6"/>
    </row>
    <row r="575" spans="3:8" ht="15.75" customHeight="1">
      <c r="C575" s="2"/>
      <c r="E575" s="3"/>
      <c r="H575" s="6"/>
    </row>
    <row r="576" spans="3:8" ht="15.75" customHeight="1">
      <c r="C576" s="2"/>
      <c r="E576" s="3"/>
      <c r="H576" s="6"/>
    </row>
    <row r="577" spans="3:8" ht="15.75" customHeight="1">
      <c r="C577" s="2"/>
      <c r="E577" s="3"/>
      <c r="H577" s="6"/>
    </row>
    <row r="578" spans="3:8" ht="15.75" customHeight="1">
      <c r="C578" s="2"/>
      <c r="E578" s="3"/>
      <c r="H578" s="6"/>
    </row>
    <row r="579" spans="3:8" ht="15.75" customHeight="1">
      <c r="C579" s="2"/>
      <c r="E579" s="3"/>
      <c r="H579" s="6"/>
    </row>
    <row r="580" spans="3:8" ht="15.75" customHeight="1">
      <c r="C580" s="2"/>
      <c r="E580" s="3"/>
      <c r="H580" s="6"/>
    </row>
    <row r="581" spans="3:8" ht="15.75" customHeight="1">
      <c r="C581" s="2"/>
      <c r="E581" s="3"/>
      <c r="H581" s="6"/>
    </row>
    <row r="582" spans="3:8" ht="15.75" customHeight="1">
      <c r="C582" s="2"/>
      <c r="E582" s="3"/>
      <c r="H582" s="6"/>
    </row>
    <row r="583" spans="3:8" ht="15.75" customHeight="1">
      <c r="C583" s="2"/>
      <c r="E583" s="3"/>
      <c r="H583" s="6"/>
    </row>
    <row r="584" spans="3:8" ht="15.75" customHeight="1">
      <c r="C584" s="2"/>
      <c r="E584" s="3"/>
      <c r="H584" s="6"/>
    </row>
    <row r="585" spans="3:8" ht="15.75" customHeight="1">
      <c r="C585" s="2"/>
      <c r="E585" s="3"/>
      <c r="H585" s="6"/>
    </row>
    <row r="586" spans="3:8" ht="15.75" customHeight="1">
      <c r="C586" s="2"/>
      <c r="E586" s="3"/>
      <c r="H586" s="6"/>
    </row>
    <row r="587" spans="3:8" ht="15.75" customHeight="1">
      <c r="C587" s="2"/>
      <c r="E587" s="3"/>
      <c r="H587" s="6"/>
    </row>
    <row r="588" spans="3:8" ht="15.75" customHeight="1">
      <c r="C588" s="2"/>
      <c r="E588" s="3"/>
      <c r="H588" s="6"/>
    </row>
    <row r="589" spans="3:8" ht="15.75" customHeight="1">
      <c r="C589" s="2"/>
      <c r="E589" s="3"/>
      <c r="H589" s="6"/>
    </row>
    <row r="590" spans="3:8" ht="15.75" customHeight="1">
      <c r="C590" s="2"/>
      <c r="E590" s="3"/>
      <c r="H590" s="6"/>
    </row>
    <row r="591" spans="3:8" ht="15.75" customHeight="1">
      <c r="C591" s="2"/>
      <c r="E591" s="3"/>
      <c r="H591" s="6"/>
    </row>
    <row r="592" spans="3:8" ht="15.75" customHeight="1">
      <c r="C592" s="2"/>
      <c r="E592" s="3"/>
      <c r="H592" s="6"/>
    </row>
    <row r="593" spans="3:8" ht="15.75" customHeight="1">
      <c r="C593" s="2"/>
      <c r="E593" s="3"/>
      <c r="H593" s="6"/>
    </row>
    <row r="594" spans="3:8" ht="15.75" customHeight="1">
      <c r="C594" s="2"/>
      <c r="E594" s="3"/>
      <c r="H594" s="6"/>
    </row>
    <row r="595" spans="3:8" ht="15.75" customHeight="1">
      <c r="C595" s="2"/>
      <c r="E595" s="3"/>
      <c r="H595" s="6"/>
    </row>
    <row r="596" spans="3:8" ht="15.75" customHeight="1">
      <c r="C596" s="2"/>
      <c r="E596" s="3"/>
      <c r="H596" s="6"/>
    </row>
    <row r="597" spans="3:8" ht="15.75" customHeight="1">
      <c r="C597" s="2"/>
      <c r="E597" s="3"/>
      <c r="H597" s="6"/>
    </row>
    <row r="598" spans="3:8" ht="15.75" customHeight="1">
      <c r="C598" s="2"/>
      <c r="E598" s="3"/>
      <c r="H598" s="6"/>
    </row>
    <row r="599" spans="3:8" ht="15.75" customHeight="1">
      <c r="C599" s="2"/>
      <c r="E599" s="3"/>
      <c r="H599" s="6"/>
    </row>
    <row r="600" spans="3:8" ht="15.75" customHeight="1">
      <c r="C600" s="2"/>
      <c r="E600" s="3"/>
      <c r="H600" s="6"/>
    </row>
    <row r="601" spans="3:8" ht="15.75" customHeight="1">
      <c r="C601" s="2"/>
      <c r="E601" s="3"/>
      <c r="H601" s="6"/>
    </row>
    <row r="602" spans="3:8" ht="15.75" customHeight="1">
      <c r="C602" s="2"/>
      <c r="E602" s="3"/>
      <c r="H602" s="6"/>
    </row>
    <row r="603" spans="3:8" ht="15.75" customHeight="1">
      <c r="C603" s="2"/>
      <c r="E603" s="3"/>
      <c r="H603" s="6"/>
    </row>
    <row r="604" spans="3:8" ht="15.75" customHeight="1">
      <c r="C604" s="2"/>
      <c r="E604" s="3"/>
      <c r="H604" s="6"/>
    </row>
    <row r="605" spans="3:8" ht="15.75" customHeight="1">
      <c r="C605" s="2"/>
      <c r="E605" s="3"/>
      <c r="H605" s="6"/>
    </row>
    <row r="606" spans="3:8" ht="15.75" customHeight="1">
      <c r="C606" s="2"/>
      <c r="E606" s="3"/>
      <c r="H606" s="6"/>
    </row>
    <row r="607" spans="3:8" ht="15.75" customHeight="1">
      <c r="C607" s="2"/>
      <c r="E607" s="3"/>
      <c r="H607" s="6"/>
    </row>
    <row r="608" spans="3:8" ht="15.75" customHeight="1">
      <c r="C608" s="2"/>
      <c r="E608" s="3"/>
      <c r="H608" s="6"/>
    </row>
    <row r="609" spans="3:8" ht="15.75" customHeight="1">
      <c r="C609" s="2"/>
      <c r="E609" s="3"/>
      <c r="H609" s="6"/>
    </row>
    <row r="610" spans="3:8" ht="15.75" customHeight="1">
      <c r="C610" s="2"/>
      <c r="E610" s="3"/>
      <c r="H610" s="6"/>
    </row>
    <row r="611" spans="3:8" ht="15.75" customHeight="1">
      <c r="C611" s="2"/>
      <c r="E611" s="3"/>
      <c r="H611" s="6"/>
    </row>
    <row r="612" spans="3:8" ht="15.75" customHeight="1">
      <c r="C612" s="2"/>
      <c r="E612" s="3"/>
      <c r="H612" s="6"/>
    </row>
    <row r="613" spans="3:8" ht="15.75" customHeight="1">
      <c r="C613" s="2"/>
      <c r="E613" s="3"/>
      <c r="H613" s="6"/>
    </row>
    <row r="614" spans="3:8" ht="15.75" customHeight="1">
      <c r="C614" s="2"/>
      <c r="E614" s="3"/>
      <c r="H614" s="6"/>
    </row>
    <row r="615" spans="3:8" ht="15.75" customHeight="1">
      <c r="C615" s="2"/>
      <c r="E615" s="3"/>
      <c r="H615" s="6"/>
    </row>
    <row r="616" spans="3:8" ht="15.75" customHeight="1">
      <c r="C616" s="2"/>
      <c r="E616" s="3"/>
      <c r="H616" s="6"/>
    </row>
    <row r="617" spans="3:8" ht="15.75" customHeight="1">
      <c r="C617" s="2"/>
      <c r="E617" s="3"/>
      <c r="H617" s="6"/>
    </row>
    <row r="618" spans="3:8" ht="15.75" customHeight="1">
      <c r="C618" s="2"/>
      <c r="E618" s="3"/>
      <c r="H618" s="6"/>
    </row>
    <row r="619" spans="3:8" ht="15.75" customHeight="1">
      <c r="C619" s="2"/>
      <c r="E619" s="3"/>
      <c r="H619" s="6"/>
    </row>
    <row r="620" spans="3:8" ht="15.75" customHeight="1">
      <c r="C620" s="2"/>
      <c r="E620" s="3"/>
      <c r="H620" s="6"/>
    </row>
    <row r="621" spans="3:8" ht="15.75" customHeight="1">
      <c r="C621" s="2"/>
      <c r="E621" s="3"/>
      <c r="H621" s="6"/>
    </row>
    <row r="622" spans="3:8" ht="15.75" customHeight="1">
      <c r="C622" s="2"/>
      <c r="E622" s="3"/>
      <c r="H622" s="6"/>
    </row>
    <row r="623" spans="3:8" ht="15.75" customHeight="1">
      <c r="C623" s="2"/>
      <c r="E623" s="3"/>
      <c r="H623" s="6"/>
    </row>
    <row r="624" spans="3:8" ht="15.75" customHeight="1">
      <c r="C624" s="2"/>
      <c r="E624" s="3"/>
      <c r="H624" s="6"/>
    </row>
    <row r="625" spans="3:8" ht="15.75" customHeight="1">
      <c r="C625" s="2"/>
      <c r="E625" s="3"/>
      <c r="H625" s="6"/>
    </row>
    <row r="626" spans="3:8" ht="15.75" customHeight="1">
      <c r="C626" s="2"/>
      <c r="E626" s="3"/>
      <c r="H626" s="6"/>
    </row>
    <row r="627" spans="3:8" ht="15.75" customHeight="1">
      <c r="C627" s="2"/>
      <c r="E627" s="3"/>
      <c r="H627" s="6"/>
    </row>
    <row r="628" spans="3:8" ht="15.75" customHeight="1">
      <c r="C628" s="2"/>
      <c r="E628" s="3"/>
      <c r="H628" s="6"/>
    </row>
    <row r="629" spans="3:8" ht="15.75" customHeight="1">
      <c r="C629" s="2"/>
      <c r="E629" s="3"/>
      <c r="H629" s="6"/>
    </row>
    <row r="630" spans="3:8" ht="15.75" customHeight="1">
      <c r="C630" s="2"/>
      <c r="E630" s="3"/>
      <c r="H630" s="6"/>
    </row>
    <row r="631" spans="3:8" ht="15.75" customHeight="1">
      <c r="C631" s="2"/>
      <c r="E631" s="3"/>
      <c r="H631" s="6"/>
    </row>
    <row r="632" spans="3:8" ht="15.75" customHeight="1">
      <c r="C632" s="2"/>
      <c r="E632" s="3"/>
      <c r="H632" s="6"/>
    </row>
    <row r="633" spans="3:8" ht="15.75" customHeight="1">
      <c r="C633" s="2"/>
      <c r="E633" s="3"/>
      <c r="H633" s="6"/>
    </row>
    <row r="634" spans="3:8" ht="15.75" customHeight="1">
      <c r="C634" s="2"/>
      <c r="E634" s="3"/>
      <c r="H634" s="6"/>
    </row>
    <row r="635" spans="3:8" ht="15.75" customHeight="1">
      <c r="C635" s="2"/>
      <c r="E635" s="3"/>
      <c r="H635" s="6"/>
    </row>
    <row r="636" spans="3:8" ht="15.75" customHeight="1">
      <c r="C636" s="2"/>
      <c r="E636" s="3"/>
      <c r="H636" s="6"/>
    </row>
    <row r="637" spans="3:8" ht="15.75" customHeight="1">
      <c r="C637" s="2"/>
      <c r="E637" s="3"/>
      <c r="H637" s="6"/>
    </row>
    <row r="638" spans="3:8" ht="15.75" customHeight="1">
      <c r="C638" s="2"/>
      <c r="E638" s="3"/>
      <c r="H638" s="6"/>
    </row>
    <row r="639" spans="3:8" ht="15.75" customHeight="1">
      <c r="C639" s="2"/>
      <c r="E639" s="3"/>
      <c r="H639" s="6"/>
    </row>
    <row r="640" spans="3:8" ht="15.75" customHeight="1">
      <c r="C640" s="2"/>
      <c r="E640" s="3"/>
      <c r="H640" s="6"/>
    </row>
    <row r="641" spans="3:8" ht="15.75" customHeight="1">
      <c r="C641" s="2"/>
      <c r="E641" s="3"/>
      <c r="H641" s="6"/>
    </row>
    <row r="642" spans="3:8" ht="15.75" customHeight="1">
      <c r="C642" s="2"/>
      <c r="E642" s="3"/>
      <c r="H642" s="6"/>
    </row>
    <row r="643" spans="3:8" ht="15.75" customHeight="1">
      <c r="C643" s="2"/>
      <c r="E643" s="3"/>
      <c r="H643" s="6"/>
    </row>
    <row r="644" spans="3:8" ht="15.75" customHeight="1">
      <c r="C644" s="2"/>
      <c r="E644" s="3"/>
      <c r="H644" s="6"/>
    </row>
    <row r="645" spans="3:8" ht="15.75" customHeight="1">
      <c r="C645" s="2"/>
      <c r="E645" s="3"/>
      <c r="H645" s="6"/>
    </row>
    <row r="646" spans="3:8" ht="15.75" customHeight="1">
      <c r="C646" s="2"/>
      <c r="E646" s="3"/>
      <c r="H646" s="6"/>
    </row>
    <row r="647" spans="3:8" ht="15.75" customHeight="1">
      <c r="C647" s="2"/>
      <c r="E647" s="3"/>
      <c r="H647" s="6"/>
    </row>
    <row r="648" spans="3:8" ht="15.75" customHeight="1">
      <c r="C648" s="2"/>
      <c r="E648" s="3"/>
      <c r="H648" s="6"/>
    </row>
    <row r="649" spans="3:8" ht="15.75" customHeight="1">
      <c r="C649" s="2"/>
      <c r="E649" s="3"/>
      <c r="H649" s="6"/>
    </row>
    <row r="650" spans="3:8" ht="15.75" customHeight="1">
      <c r="C650" s="2"/>
      <c r="E650" s="3"/>
      <c r="H650" s="6"/>
    </row>
    <row r="651" spans="3:8" ht="15.75" customHeight="1">
      <c r="C651" s="2"/>
      <c r="E651" s="3"/>
      <c r="H651" s="6"/>
    </row>
    <row r="652" spans="3:8" ht="15.75" customHeight="1">
      <c r="C652" s="2"/>
      <c r="E652" s="3"/>
      <c r="H652" s="6"/>
    </row>
    <row r="653" spans="3:8" ht="15.75" customHeight="1">
      <c r="C653" s="2"/>
      <c r="E653" s="3"/>
      <c r="H653" s="6"/>
    </row>
    <row r="654" spans="3:8" ht="15.75" customHeight="1">
      <c r="C654" s="2"/>
      <c r="E654" s="3"/>
      <c r="H654" s="6"/>
    </row>
    <row r="655" spans="3:8" ht="15.75" customHeight="1">
      <c r="C655" s="2"/>
      <c r="E655" s="3"/>
      <c r="H655" s="6"/>
    </row>
    <row r="656" spans="3:8" ht="15.75" customHeight="1">
      <c r="C656" s="2"/>
      <c r="E656" s="3"/>
      <c r="H656" s="6"/>
    </row>
    <row r="657" spans="3:8" ht="15.75" customHeight="1">
      <c r="C657" s="2"/>
      <c r="E657" s="3"/>
      <c r="H657" s="6"/>
    </row>
    <row r="658" spans="3:8" ht="15.75" customHeight="1">
      <c r="C658" s="2"/>
      <c r="E658" s="3"/>
      <c r="H658" s="6"/>
    </row>
    <row r="659" spans="3:8" ht="15.75" customHeight="1">
      <c r="C659" s="2"/>
      <c r="E659" s="3"/>
      <c r="H659" s="6"/>
    </row>
    <row r="660" spans="3:8" ht="15.75" customHeight="1">
      <c r="C660" s="2"/>
      <c r="E660" s="3"/>
      <c r="H660" s="6"/>
    </row>
    <row r="661" spans="3:8" ht="15.75" customHeight="1">
      <c r="C661" s="2"/>
      <c r="E661" s="3"/>
      <c r="H661" s="6"/>
    </row>
    <row r="662" spans="3:8" ht="15.75" customHeight="1">
      <c r="C662" s="2"/>
      <c r="E662" s="3"/>
      <c r="H662" s="6"/>
    </row>
    <row r="663" spans="3:8" ht="15.75" customHeight="1">
      <c r="C663" s="2"/>
      <c r="E663" s="3"/>
      <c r="H663" s="6"/>
    </row>
    <row r="664" spans="3:8" ht="15.75" customHeight="1">
      <c r="C664" s="2"/>
      <c r="E664" s="3"/>
      <c r="H664" s="6"/>
    </row>
    <row r="665" spans="3:8" ht="15.75" customHeight="1">
      <c r="C665" s="2"/>
      <c r="E665" s="3"/>
      <c r="H665" s="6"/>
    </row>
    <row r="666" spans="3:8" ht="15.75" customHeight="1">
      <c r="C666" s="2"/>
      <c r="E666" s="3"/>
      <c r="H666" s="6"/>
    </row>
    <row r="667" spans="3:8" ht="15.75" customHeight="1">
      <c r="C667" s="2"/>
      <c r="E667" s="3"/>
      <c r="H667" s="6"/>
    </row>
    <row r="668" spans="3:8" ht="15.75" customHeight="1">
      <c r="C668" s="2"/>
      <c r="E668" s="3"/>
      <c r="H668" s="6"/>
    </row>
    <row r="669" spans="3:8" ht="15.75" customHeight="1">
      <c r="C669" s="2"/>
      <c r="E669" s="3"/>
      <c r="H669" s="6"/>
    </row>
    <row r="670" spans="3:8" ht="15.75" customHeight="1">
      <c r="C670" s="2"/>
      <c r="E670" s="3"/>
      <c r="H670" s="6"/>
    </row>
    <row r="671" spans="3:8" ht="15.75" customHeight="1">
      <c r="C671" s="2"/>
      <c r="E671" s="3"/>
      <c r="H671" s="6"/>
    </row>
    <row r="672" spans="3:8" ht="15.75" customHeight="1">
      <c r="C672" s="2"/>
      <c r="E672" s="3"/>
      <c r="H672" s="6"/>
    </row>
    <row r="673" spans="3:8" ht="15.75" customHeight="1">
      <c r="C673" s="2"/>
      <c r="E673" s="3"/>
      <c r="H673" s="6"/>
    </row>
    <row r="674" spans="3:8" ht="15.75" customHeight="1">
      <c r="C674" s="2"/>
      <c r="E674" s="3"/>
      <c r="H674" s="6"/>
    </row>
    <row r="675" spans="3:8" ht="15.75" customHeight="1">
      <c r="C675" s="2"/>
      <c r="E675" s="3"/>
      <c r="H675" s="6"/>
    </row>
    <row r="676" spans="3:8" ht="15.75" customHeight="1">
      <c r="C676" s="2"/>
      <c r="E676" s="3"/>
      <c r="H676" s="6"/>
    </row>
    <row r="677" spans="3:8" ht="15.75" customHeight="1">
      <c r="C677" s="2"/>
      <c r="E677" s="3"/>
      <c r="H677" s="6"/>
    </row>
    <row r="678" spans="3:8" ht="15.75" customHeight="1">
      <c r="C678" s="2"/>
      <c r="E678" s="3"/>
      <c r="H678" s="6"/>
    </row>
    <row r="679" spans="3:8" ht="15.75" customHeight="1">
      <c r="C679" s="2"/>
      <c r="E679" s="3"/>
      <c r="H679" s="6"/>
    </row>
    <row r="680" spans="3:8" ht="15.75" customHeight="1">
      <c r="C680" s="2"/>
      <c r="E680" s="3"/>
      <c r="H680" s="6"/>
    </row>
    <row r="681" spans="3:8" ht="15.75" customHeight="1">
      <c r="C681" s="2"/>
      <c r="E681" s="3"/>
      <c r="H681" s="6"/>
    </row>
    <row r="682" spans="3:8" ht="15.75" customHeight="1">
      <c r="C682" s="2"/>
      <c r="E682" s="3"/>
      <c r="H682" s="6"/>
    </row>
    <row r="683" spans="3:8" ht="15.75" customHeight="1">
      <c r="C683" s="2"/>
      <c r="E683" s="3"/>
      <c r="H683" s="6"/>
    </row>
    <row r="684" spans="3:8" ht="15.75" customHeight="1">
      <c r="C684" s="2"/>
      <c r="E684" s="3"/>
      <c r="H684" s="6"/>
    </row>
    <row r="685" spans="3:8" ht="15.75" customHeight="1">
      <c r="C685" s="2"/>
      <c r="E685" s="3"/>
      <c r="H685" s="6"/>
    </row>
    <row r="686" spans="3:8" ht="15.75" customHeight="1">
      <c r="C686" s="2"/>
      <c r="E686" s="3"/>
      <c r="H686" s="6"/>
    </row>
    <row r="687" spans="3:8" ht="15.75" customHeight="1">
      <c r="C687" s="2"/>
      <c r="E687" s="3"/>
      <c r="H687" s="6"/>
    </row>
    <row r="688" spans="3:8" ht="15.75" customHeight="1">
      <c r="C688" s="2"/>
      <c r="E688" s="3"/>
      <c r="H688" s="6"/>
    </row>
    <row r="689" spans="3:8" ht="15.75" customHeight="1">
      <c r="C689" s="2"/>
      <c r="E689" s="3"/>
      <c r="H689" s="6"/>
    </row>
    <row r="690" spans="3:8" ht="15.75" customHeight="1">
      <c r="C690" s="2"/>
      <c r="E690" s="3"/>
      <c r="H690" s="6"/>
    </row>
    <row r="691" spans="3:8" ht="15.75" customHeight="1">
      <c r="C691" s="2"/>
      <c r="E691" s="3"/>
      <c r="H691" s="6"/>
    </row>
    <row r="692" spans="3:8" ht="15.75" customHeight="1">
      <c r="C692" s="2"/>
      <c r="E692" s="3"/>
      <c r="H692" s="6"/>
    </row>
    <row r="693" spans="3:8" ht="15.75" customHeight="1">
      <c r="C693" s="2"/>
      <c r="E693" s="3"/>
      <c r="H693" s="6"/>
    </row>
    <row r="694" spans="3:8" ht="15.75" customHeight="1">
      <c r="C694" s="2"/>
      <c r="E694" s="3"/>
      <c r="H694" s="6"/>
    </row>
    <row r="695" spans="3:8" ht="15.75" customHeight="1">
      <c r="C695" s="2"/>
      <c r="E695" s="3"/>
      <c r="H695" s="6"/>
    </row>
    <row r="696" spans="3:8" ht="15.75" customHeight="1">
      <c r="C696" s="2"/>
      <c r="E696" s="3"/>
      <c r="H696" s="6"/>
    </row>
    <row r="697" spans="3:8" ht="15.75" customHeight="1">
      <c r="C697" s="2"/>
      <c r="E697" s="3"/>
      <c r="H697" s="6"/>
    </row>
    <row r="698" spans="3:8" ht="15.75" customHeight="1">
      <c r="C698" s="2"/>
      <c r="E698" s="3"/>
      <c r="H698" s="6"/>
    </row>
    <row r="699" spans="3:8" ht="15.75" customHeight="1">
      <c r="C699" s="2"/>
      <c r="E699" s="3"/>
      <c r="H699" s="6"/>
    </row>
    <row r="700" spans="3:8" ht="15.75" customHeight="1">
      <c r="C700" s="2"/>
      <c r="E700" s="3"/>
      <c r="H700" s="6"/>
    </row>
    <row r="701" spans="3:8" ht="15.75" customHeight="1">
      <c r="C701" s="2"/>
      <c r="E701" s="3"/>
      <c r="H701" s="6"/>
    </row>
    <row r="702" spans="3:8" ht="15.75" customHeight="1">
      <c r="C702" s="2"/>
      <c r="E702" s="3"/>
      <c r="H702" s="6"/>
    </row>
    <row r="703" spans="3:8" ht="15.75" customHeight="1">
      <c r="C703" s="2"/>
      <c r="E703" s="3"/>
      <c r="H703" s="6"/>
    </row>
    <row r="704" spans="3:8" ht="15.75" customHeight="1">
      <c r="C704" s="2"/>
      <c r="E704" s="3"/>
      <c r="H704" s="6"/>
    </row>
    <row r="705" spans="3:8" ht="15.75" customHeight="1">
      <c r="C705" s="2"/>
      <c r="E705" s="3"/>
      <c r="H705" s="6"/>
    </row>
    <row r="706" spans="3:8" ht="15.75" customHeight="1">
      <c r="C706" s="2"/>
      <c r="E706" s="3"/>
      <c r="H706" s="6"/>
    </row>
    <row r="707" spans="3:8" ht="15.75" customHeight="1">
      <c r="C707" s="2"/>
      <c r="E707" s="3"/>
      <c r="H707" s="6"/>
    </row>
    <row r="708" spans="3:8" ht="15.75" customHeight="1">
      <c r="C708" s="2"/>
      <c r="E708" s="3"/>
      <c r="H708" s="6"/>
    </row>
    <row r="709" spans="3:8" ht="15.75" customHeight="1">
      <c r="C709" s="2"/>
      <c r="E709" s="3"/>
      <c r="H709" s="6"/>
    </row>
    <row r="710" spans="3:8" ht="15.75" customHeight="1">
      <c r="C710" s="2"/>
      <c r="E710" s="3"/>
      <c r="H710" s="6"/>
    </row>
    <row r="711" spans="3:8" ht="15.75" customHeight="1">
      <c r="C711" s="2"/>
      <c r="E711" s="3"/>
      <c r="H711" s="6"/>
    </row>
    <row r="712" spans="3:8" ht="15.75" customHeight="1">
      <c r="C712" s="2"/>
      <c r="E712" s="3"/>
      <c r="H712" s="6"/>
    </row>
    <row r="713" spans="3:8" ht="15.75" customHeight="1">
      <c r="C713" s="2"/>
      <c r="E713" s="3"/>
      <c r="H713" s="6"/>
    </row>
    <row r="714" spans="3:8" ht="15.75" customHeight="1">
      <c r="C714" s="2"/>
      <c r="E714" s="3"/>
      <c r="H714" s="6"/>
    </row>
    <row r="715" spans="3:8" ht="15.75" customHeight="1">
      <c r="C715" s="2"/>
      <c r="E715" s="3"/>
      <c r="H715" s="6"/>
    </row>
    <row r="716" spans="3:8" ht="15.75" customHeight="1">
      <c r="C716" s="2"/>
      <c r="E716" s="3"/>
      <c r="H716" s="6"/>
    </row>
    <row r="717" spans="3:8" ht="15.75" customHeight="1">
      <c r="C717" s="2"/>
      <c r="E717" s="3"/>
      <c r="H717" s="6"/>
    </row>
    <row r="718" spans="3:8" ht="15.75" customHeight="1">
      <c r="C718" s="2"/>
      <c r="E718" s="3"/>
      <c r="H718" s="6"/>
    </row>
    <row r="719" spans="3:8" ht="15.75" customHeight="1">
      <c r="C719" s="2"/>
      <c r="E719" s="3"/>
      <c r="H719" s="6"/>
    </row>
    <row r="720" spans="3:8" ht="15.75" customHeight="1">
      <c r="C720" s="2"/>
      <c r="E720" s="3"/>
      <c r="H720" s="6"/>
    </row>
    <row r="721" spans="3:8" ht="15.75" customHeight="1">
      <c r="C721" s="2"/>
      <c r="E721" s="3"/>
      <c r="H721" s="6"/>
    </row>
    <row r="722" spans="3:8" ht="15.75" customHeight="1">
      <c r="C722" s="2"/>
      <c r="E722" s="3"/>
      <c r="H722" s="6"/>
    </row>
    <row r="723" spans="3:8" ht="15.75" customHeight="1">
      <c r="C723" s="2"/>
      <c r="E723" s="3"/>
      <c r="H723" s="6"/>
    </row>
    <row r="724" spans="3:8" ht="15.75" customHeight="1">
      <c r="C724" s="2"/>
      <c r="E724" s="3"/>
      <c r="H724" s="6"/>
    </row>
    <row r="725" spans="3:8" ht="15.75" customHeight="1">
      <c r="C725" s="2"/>
      <c r="E725" s="3"/>
      <c r="H725" s="6"/>
    </row>
    <row r="726" spans="3:8" ht="15.75" customHeight="1">
      <c r="C726" s="2"/>
      <c r="E726" s="3"/>
      <c r="H726" s="6"/>
    </row>
    <row r="727" spans="3:8" ht="15.75" customHeight="1">
      <c r="C727" s="2"/>
      <c r="E727" s="3"/>
      <c r="H727" s="6"/>
    </row>
    <row r="728" spans="3:8" ht="15.75" customHeight="1">
      <c r="C728" s="2"/>
      <c r="E728" s="3"/>
      <c r="H728" s="6"/>
    </row>
    <row r="729" spans="3:8" ht="15.75" customHeight="1">
      <c r="C729" s="2"/>
      <c r="E729" s="3"/>
      <c r="H729" s="6"/>
    </row>
    <row r="730" spans="3:8" ht="15.75" customHeight="1">
      <c r="C730" s="2"/>
      <c r="E730" s="3"/>
      <c r="H730" s="6"/>
    </row>
    <row r="731" spans="3:8" ht="15.75" customHeight="1">
      <c r="C731" s="2"/>
      <c r="E731" s="3"/>
      <c r="H731" s="6"/>
    </row>
    <row r="732" spans="3:8" ht="15.75" customHeight="1">
      <c r="C732" s="2"/>
      <c r="E732" s="3"/>
      <c r="H732" s="6"/>
    </row>
    <row r="733" spans="3:8" ht="15.75" customHeight="1">
      <c r="C733" s="2"/>
      <c r="E733" s="3"/>
      <c r="H733" s="6"/>
    </row>
    <row r="734" spans="3:8" ht="15.75" customHeight="1">
      <c r="C734" s="2"/>
      <c r="E734" s="3"/>
      <c r="H734" s="6"/>
    </row>
    <row r="735" spans="3:8" ht="15.75" customHeight="1">
      <c r="C735" s="2"/>
      <c r="E735" s="3"/>
      <c r="H735" s="6"/>
    </row>
    <row r="736" spans="3:8" ht="15.75" customHeight="1">
      <c r="C736" s="2"/>
      <c r="E736" s="3"/>
      <c r="H736" s="6"/>
    </row>
    <row r="737" spans="3:8" ht="15.75" customHeight="1">
      <c r="C737" s="2"/>
      <c r="E737" s="3"/>
      <c r="H737" s="6"/>
    </row>
    <row r="738" spans="3:8" ht="15.75" customHeight="1">
      <c r="C738" s="2"/>
      <c r="E738" s="3"/>
      <c r="H738" s="6"/>
    </row>
    <row r="739" spans="3:8" ht="15.75" customHeight="1">
      <c r="C739" s="2"/>
      <c r="E739" s="3"/>
      <c r="H739" s="6"/>
    </row>
    <row r="740" spans="3:8" ht="15.75" customHeight="1">
      <c r="C740" s="2"/>
      <c r="E740" s="3"/>
      <c r="H740" s="6"/>
    </row>
    <row r="741" spans="3:8" ht="15.75" customHeight="1">
      <c r="C741" s="2"/>
      <c r="E741" s="3"/>
      <c r="H741" s="6"/>
    </row>
    <row r="742" spans="3:8" ht="15.75" customHeight="1">
      <c r="C742" s="2"/>
      <c r="E742" s="3"/>
      <c r="H742" s="6"/>
    </row>
    <row r="743" spans="3:8" ht="15.75" customHeight="1">
      <c r="C743" s="2"/>
      <c r="E743" s="3"/>
      <c r="H743" s="6"/>
    </row>
    <row r="744" spans="3:8" ht="15.75" customHeight="1">
      <c r="C744" s="2"/>
      <c r="E744" s="3"/>
      <c r="H744" s="6"/>
    </row>
    <row r="745" spans="3:8" ht="15.75" customHeight="1">
      <c r="C745" s="2"/>
      <c r="E745" s="3"/>
      <c r="H745" s="6"/>
    </row>
    <row r="746" spans="3:8" ht="15.75" customHeight="1">
      <c r="C746" s="2"/>
      <c r="E746" s="3"/>
      <c r="H746" s="6"/>
    </row>
    <row r="747" spans="3:8" ht="15.75" customHeight="1">
      <c r="C747" s="2"/>
      <c r="E747" s="3"/>
      <c r="H747" s="6"/>
    </row>
    <row r="748" spans="3:8" ht="15.75" customHeight="1">
      <c r="C748" s="2"/>
      <c r="E748" s="3"/>
      <c r="H748" s="6"/>
    </row>
    <row r="749" spans="3:8" ht="15.75" customHeight="1">
      <c r="C749" s="2"/>
      <c r="E749" s="3"/>
      <c r="H749" s="6"/>
    </row>
    <row r="750" spans="3:8" ht="15.75" customHeight="1">
      <c r="C750" s="2"/>
      <c r="E750" s="3"/>
      <c r="H750" s="6"/>
    </row>
    <row r="751" spans="3:8" ht="15.75" customHeight="1">
      <c r="C751" s="2"/>
      <c r="E751" s="3"/>
      <c r="H751" s="6"/>
    </row>
    <row r="752" spans="3:8" ht="15.75" customHeight="1">
      <c r="C752" s="2"/>
      <c r="E752" s="3"/>
      <c r="H752" s="6"/>
    </row>
    <row r="753" spans="3:8" ht="15.75" customHeight="1">
      <c r="C753" s="2"/>
      <c r="E753" s="3"/>
      <c r="H753" s="6"/>
    </row>
    <row r="754" spans="3:8" ht="15.75" customHeight="1">
      <c r="C754" s="2"/>
      <c r="E754" s="3"/>
      <c r="H754" s="6"/>
    </row>
    <row r="755" spans="3:8" ht="15.75" customHeight="1">
      <c r="C755" s="2"/>
      <c r="E755" s="3"/>
      <c r="H755" s="6"/>
    </row>
    <row r="756" spans="3:8" ht="15.75" customHeight="1">
      <c r="C756" s="2"/>
      <c r="E756" s="3"/>
      <c r="H756" s="6"/>
    </row>
    <row r="757" spans="3:8" ht="15.75" customHeight="1">
      <c r="C757" s="2"/>
      <c r="E757" s="3"/>
      <c r="H757" s="6"/>
    </row>
    <row r="758" spans="3:8" ht="15.75" customHeight="1">
      <c r="C758" s="2"/>
      <c r="E758" s="3"/>
      <c r="H758" s="6"/>
    </row>
    <row r="759" spans="3:8" ht="15.75" customHeight="1">
      <c r="C759" s="2"/>
      <c r="E759" s="3"/>
      <c r="H759" s="6"/>
    </row>
    <row r="760" spans="3:8" ht="15.75" customHeight="1">
      <c r="C760" s="2"/>
      <c r="E760" s="3"/>
      <c r="H760" s="6"/>
    </row>
    <row r="761" spans="3:8" ht="15.75" customHeight="1">
      <c r="C761" s="2"/>
      <c r="E761" s="3"/>
      <c r="H761" s="6"/>
    </row>
    <row r="762" spans="3:8" ht="15.75" customHeight="1">
      <c r="C762" s="2"/>
      <c r="E762" s="3"/>
      <c r="H762" s="6"/>
    </row>
    <row r="763" spans="3:8" ht="15.75" customHeight="1">
      <c r="C763" s="2"/>
      <c r="E763" s="3"/>
      <c r="H763" s="6"/>
    </row>
    <row r="764" spans="3:8" ht="15.75" customHeight="1">
      <c r="C764" s="2"/>
      <c r="E764" s="3"/>
      <c r="H764" s="6"/>
    </row>
    <row r="765" spans="3:8" ht="15.75" customHeight="1">
      <c r="C765" s="2"/>
      <c r="E765" s="3"/>
      <c r="H765" s="6"/>
    </row>
    <row r="766" spans="3:8" ht="15.75" customHeight="1">
      <c r="C766" s="2"/>
      <c r="E766" s="3"/>
      <c r="H766" s="6"/>
    </row>
    <row r="767" spans="3:8" ht="15.75" customHeight="1">
      <c r="C767" s="2"/>
      <c r="E767" s="3"/>
      <c r="H767" s="6"/>
    </row>
    <row r="768" spans="3:8" ht="15.75" customHeight="1">
      <c r="C768" s="2"/>
      <c r="E768" s="3"/>
      <c r="H768" s="6"/>
    </row>
    <row r="769" spans="3:8" ht="15.75" customHeight="1">
      <c r="C769" s="2"/>
      <c r="E769" s="3"/>
      <c r="H769" s="6"/>
    </row>
    <row r="770" spans="3:8" ht="15.75" customHeight="1">
      <c r="C770" s="2"/>
      <c r="E770" s="3"/>
      <c r="H770" s="6"/>
    </row>
    <row r="771" spans="3:8" ht="15.75" customHeight="1">
      <c r="C771" s="2"/>
      <c r="E771" s="3"/>
      <c r="H771" s="6"/>
    </row>
    <row r="772" spans="3:8" ht="15.75" customHeight="1">
      <c r="C772" s="2"/>
      <c r="E772" s="3"/>
      <c r="H772" s="6"/>
    </row>
    <row r="773" spans="3:8" ht="15.75" customHeight="1">
      <c r="C773" s="2"/>
      <c r="E773" s="3"/>
      <c r="H773" s="6"/>
    </row>
    <row r="774" spans="3:8" ht="15.75" customHeight="1">
      <c r="C774" s="2"/>
      <c r="E774" s="3"/>
      <c r="H774" s="6"/>
    </row>
    <row r="775" spans="3:8" ht="15.75" customHeight="1">
      <c r="C775" s="2"/>
      <c r="E775" s="3"/>
      <c r="H775" s="6"/>
    </row>
    <row r="776" spans="3:8" ht="15.75" customHeight="1">
      <c r="C776" s="2"/>
      <c r="E776" s="3"/>
      <c r="H776" s="6"/>
    </row>
    <row r="777" spans="3:8" ht="15.75" customHeight="1">
      <c r="C777" s="2"/>
      <c r="E777" s="3"/>
      <c r="H777" s="6"/>
    </row>
    <row r="778" spans="3:8" ht="15.75" customHeight="1">
      <c r="C778" s="2"/>
      <c r="E778" s="3"/>
      <c r="H778" s="6"/>
    </row>
    <row r="779" spans="3:8" ht="15.75" customHeight="1">
      <c r="C779" s="2"/>
      <c r="E779" s="3"/>
      <c r="H779" s="6"/>
    </row>
    <row r="780" spans="3:8" ht="15.75" customHeight="1">
      <c r="C780" s="2"/>
      <c r="E780" s="3"/>
      <c r="H780" s="6"/>
    </row>
    <row r="781" spans="3:8" ht="15.75" customHeight="1">
      <c r="C781" s="2"/>
      <c r="E781" s="3"/>
      <c r="H781" s="6"/>
    </row>
    <row r="782" spans="3:8" ht="15.75" customHeight="1">
      <c r="C782" s="2"/>
      <c r="E782" s="3"/>
      <c r="H782" s="6"/>
    </row>
    <row r="783" spans="3:8" ht="15.75" customHeight="1">
      <c r="C783" s="2"/>
      <c r="E783" s="3"/>
      <c r="H783" s="6"/>
    </row>
    <row r="784" spans="3:8" ht="15.75" customHeight="1">
      <c r="C784" s="2"/>
      <c r="E784" s="3"/>
      <c r="H784" s="6"/>
    </row>
    <row r="785" spans="3:8" ht="15.75" customHeight="1">
      <c r="C785" s="2"/>
      <c r="E785" s="3"/>
      <c r="H785" s="6"/>
    </row>
    <row r="786" spans="3:8" ht="15.75" customHeight="1">
      <c r="C786" s="2"/>
      <c r="E786" s="3"/>
      <c r="H786" s="6"/>
    </row>
    <row r="787" spans="3:8" ht="15.75" customHeight="1">
      <c r="C787" s="2"/>
      <c r="E787" s="3"/>
      <c r="H787" s="6"/>
    </row>
    <row r="788" spans="3:8" ht="15.75" customHeight="1">
      <c r="C788" s="2"/>
      <c r="E788" s="3"/>
      <c r="H788" s="6"/>
    </row>
    <row r="789" spans="3:8" ht="15.75" customHeight="1">
      <c r="C789" s="2"/>
      <c r="E789" s="3"/>
      <c r="H789" s="6"/>
    </row>
    <row r="790" spans="3:8" ht="15.75" customHeight="1">
      <c r="C790" s="2"/>
      <c r="E790" s="3"/>
      <c r="H790" s="6"/>
    </row>
    <row r="791" spans="3:8" ht="15.75" customHeight="1">
      <c r="C791" s="2"/>
      <c r="E791" s="3"/>
      <c r="H791" s="6"/>
    </row>
    <row r="792" spans="3:8" ht="15.75" customHeight="1">
      <c r="C792" s="2"/>
      <c r="E792" s="3"/>
      <c r="H792" s="6"/>
    </row>
    <row r="793" spans="3:8" ht="15.75" customHeight="1">
      <c r="C793" s="2"/>
      <c r="E793" s="3"/>
      <c r="H793" s="6"/>
    </row>
    <row r="794" spans="3:8" ht="15.75" customHeight="1">
      <c r="C794" s="2"/>
      <c r="E794" s="3"/>
      <c r="H794" s="6"/>
    </row>
    <row r="795" spans="3:8" ht="15.75" customHeight="1">
      <c r="C795" s="2"/>
      <c r="E795" s="3"/>
      <c r="H795" s="6"/>
    </row>
    <row r="796" spans="3:8" ht="15.75" customHeight="1">
      <c r="C796" s="2"/>
      <c r="E796" s="3"/>
      <c r="H796" s="6"/>
    </row>
    <row r="797" spans="3:8" ht="15.75" customHeight="1">
      <c r="C797" s="2"/>
      <c r="E797" s="3"/>
      <c r="H797" s="6"/>
    </row>
    <row r="798" spans="3:8" ht="15.75" customHeight="1">
      <c r="C798" s="2"/>
      <c r="E798" s="3"/>
      <c r="H798" s="6"/>
    </row>
    <row r="799" spans="3:8" ht="15.75" customHeight="1">
      <c r="C799" s="2"/>
      <c r="E799" s="3"/>
      <c r="H799" s="6"/>
    </row>
    <row r="800" spans="3:8" ht="15.75" customHeight="1">
      <c r="C800" s="2"/>
      <c r="E800" s="3"/>
      <c r="H800" s="6"/>
    </row>
    <row r="801" spans="3:8" ht="15.75" customHeight="1">
      <c r="C801" s="2"/>
      <c r="E801" s="3"/>
      <c r="H801" s="6"/>
    </row>
    <row r="802" spans="3:8" ht="15.75" customHeight="1">
      <c r="C802" s="2"/>
      <c r="E802" s="3"/>
      <c r="H802" s="6"/>
    </row>
    <row r="803" spans="3:8" ht="15.75" customHeight="1">
      <c r="C803" s="2"/>
      <c r="E803" s="3"/>
      <c r="H803" s="6"/>
    </row>
    <row r="804" spans="3:8" ht="15.75" customHeight="1">
      <c r="C804" s="2"/>
      <c r="E804" s="3"/>
      <c r="H804" s="6"/>
    </row>
    <row r="805" spans="3:8" ht="15.75" customHeight="1">
      <c r="C805" s="2"/>
      <c r="E805" s="3"/>
      <c r="H805" s="6"/>
    </row>
    <row r="806" spans="3:8" ht="15.75" customHeight="1">
      <c r="C806" s="2"/>
      <c r="E806" s="3"/>
      <c r="H806" s="6"/>
    </row>
    <row r="807" spans="3:8" ht="15.75" customHeight="1">
      <c r="C807" s="2"/>
      <c r="E807" s="3"/>
      <c r="H807" s="6"/>
    </row>
    <row r="808" spans="3:8" ht="15.75" customHeight="1">
      <c r="C808" s="2"/>
      <c r="E808" s="3"/>
      <c r="H808" s="6"/>
    </row>
    <row r="809" spans="3:8" ht="15.75" customHeight="1">
      <c r="C809" s="2"/>
      <c r="E809" s="3"/>
      <c r="H809" s="6"/>
    </row>
    <row r="810" spans="3:8" ht="15.75" customHeight="1">
      <c r="C810" s="2"/>
      <c r="E810" s="3"/>
      <c r="H810" s="6"/>
    </row>
    <row r="811" spans="3:8" ht="15.75" customHeight="1">
      <c r="C811" s="2"/>
      <c r="E811" s="3"/>
      <c r="H811" s="6"/>
    </row>
    <row r="812" spans="3:8" ht="15.75" customHeight="1">
      <c r="C812" s="2"/>
      <c r="E812" s="3"/>
      <c r="H812" s="6"/>
    </row>
    <row r="813" spans="3:8" ht="15.75" customHeight="1">
      <c r="C813" s="2"/>
      <c r="E813" s="3"/>
      <c r="H813" s="6"/>
    </row>
    <row r="814" spans="3:8" ht="15.75" customHeight="1">
      <c r="C814" s="2"/>
      <c r="E814" s="3"/>
      <c r="H814" s="6"/>
    </row>
    <row r="815" spans="3:8" ht="15.75" customHeight="1">
      <c r="C815" s="2"/>
      <c r="E815" s="3"/>
      <c r="H815" s="6"/>
    </row>
    <row r="816" spans="3:8" ht="15.75" customHeight="1">
      <c r="C816" s="2"/>
      <c r="E816" s="3"/>
      <c r="H816" s="6"/>
    </row>
    <row r="817" spans="3:8" ht="15.75" customHeight="1">
      <c r="C817" s="2"/>
      <c r="E817" s="3"/>
      <c r="H817" s="6"/>
    </row>
    <row r="818" spans="3:8" ht="15.75" customHeight="1">
      <c r="C818" s="2"/>
      <c r="E818" s="3"/>
      <c r="H818" s="6"/>
    </row>
    <row r="819" spans="3:8" ht="15.75" customHeight="1">
      <c r="C819" s="2"/>
      <c r="E819" s="3"/>
      <c r="H819" s="6"/>
    </row>
    <row r="820" spans="3:8" ht="15.75" customHeight="1">
      <c r="C820" s="2"/>
      <c r="E820" s="3"/>
      <c r="H820" s="6"/>
    </row>
    <row r="821" spans="3:8" ht="15.75" customHeight="1">
      <c r="C821" s="2"/>
      <c r="E821" s="3"/>
      <c r="H821" s="6"/>
    </row>
    <row r="822" spans="3:8" ht="15.75" customHeight="1">
      <c r="C822" s="2"/>
      <c r="E822" s="3"/>
      <c r="H822" s="6"/>
    </row>
    <row r="823" spans="3:8" ht="15.75" customHeight="1">
      <c r="C823" s="2"/>
      <c r="E823" s="3"/>
      <c r="H823" s="6"/>
    </row>
    <row r="824" spans="3:8" ht="15.75" customHeight="1">
      <c r="C824" s="2"/>
      <c r="E824" s="3"/>
      <c r="H824" s="6"/>
    </row>
    <row r="825" spans="3:8" ht="15.75" customHeight="1">
      <c r="C825" s="2"/>
      <c r="E825" s="3"/>
      <c r="H825" s="6"/>
    </row>
    <row r="826" spans="3:8" ht="15.75" customHeight="1">
      <c r="C826" s="2"/>
      <c r="E826" s="3"/>
      <c r="H826" s="6"/>
    </row>
    <row r="827" spans="3:8" ht="15.75" customHeight="1">
      <c r="C827" s="2"/>
      <c r="E827" s="3"/>
      <c r="H827" s="6"/>
    </row>
    <row r="828" spans="3:8" ht="15.75" customHeight="1">
      <c r="C828" s="2"/>
      <c r="E828" s="3"/>
      <c r="H828" s="6"/>
    </row>
    <row r="829" spans="3:8" ht="15.75" customHeight="1">
      <c r="C829" s="2"/>
      <c r="E829" s="3"/>
      <c r="H829" s="6"/>
    </row>
    <row r="830" spans="3:8" ht="15.75" customHeight="1">
      <c r="C830" s="2"/>
      <c r="E830" s="3"/>
      <c r="H830" s="6"/>
    </row>
    <row r="831" spans="3:8" ht="15.75" customHeight="1">
      <c r="C831" s="2"/>
      <c r="E831" s="3"/>
      <c r="H831" s="6"/>
    </row>
    <row r="832" spans="3:8" ht="15.75" customHeight="1">
      <c r="C832" s="2"/>
      <c r="E832" s="3"/>
      <c r="H832" s="6"/>
    </row>
    <row r="833" spans="3:8" ht="15.75" customHeight="1">
      <c r="C833" s="2"/>
      <c r="E833" s="3"/>
      <c r="H833" s="6"/>
    </row>
    <row r="834" spans="3:8" ht="15.75" customHeight="1">
      <c r="C834" s="2"/>
      <c r="E834" s="3"/>
      <c r="H834" s="6"/>
    </row>
    <row r="835" spans="3:8" ht="15.75" customHeight="1">
      <c r="C835" s="2"/>
      <c r="E835" s="3"/>
      <c r="H835" s="6"/>
    </row>
    <row r="836" spans="3:8" ht="15.75" customHeight="1">
      <c r="C836" s="2"/>
      <c r="E836" s="3"/>
      <c r="H836" s="6"/>
    </row>
    <row r="837" spans="3:8" ht="15.75" customHeight="1">
      <c r="C837" s="2"/>
      <c r="E837" s="3"/>
      <c r="H837" s="6"/>
    </row>
    <row r="838" spans="3:8" ht="15.75" customHeight="1">
      <c r="C838" s="2"/>
      <c r="E838" s="3"/>
      <c r="H838" s="6"/>
    </row>
    <row r="839" spans="3:8" ht="15.75" customHeight="1">
      <c r="C839" s="2"/>
      <c r="E839" s="3"/>
      <c r="H839" s="6"/>
    </row>
    <row r="840" spans="3:8" ht="15.75" customHeight="1">
      <c r="C840" s="2"/>
      <c r="E840" s="3"/>
      <c r="H840" s="6"/>
    </row>
    <row r="841" spans="3:8" ht="15.75" customHeight="1">
      <c r="C841" s="2"/>
      <c r="E841" s="3"/>
      <c r="H841" s="6"/>
    </row>
    <row r="842" spans="3:8" ht="15.75" customHeight="1">
      <c r="C842" s="2"/>
      <c r="E842" s="3"/>
      <c r="H842" s="6"/>
    </row>
    <row r="843" spans="3:8" ht="15.75" customHeight="1">
      <c r="C843" s="2"/>
      <c r="E843" s="3"/>
      <c r="H843" s="6"/>
    </row>
    <row r="844" spans="3:8" ht="15.75" customHeight="1">
      <c r="C844" s="2"/>
      <c r="E844" s="3"/>
      <c r="H844" s="6"/>
    </row>
    <row r="845" spans="3:8" ht="15.75" customHeight="1">
      <c r="C845" s="2"/>
      <c r="E845" s="3"/>
      <c r="H845" s="6"/>
    </row>
    <row r="846" spans="3:8" ht="15.75" customHeight="1">
      <c r="C846" s="2"/>
      <c r="E846" s="3"/>
      <c r="H846" s="6"/>
    </row>
    <row r="847" spans="3:8" ht="15.75" customHeight="1">
      <c r="C847" s="2"/>
      <c r="E847" s="3"/>
      <c r="H847" s="6"/>
    </row>
    <row r="848" spans="3:8" ht="15.75" customHeight="1">
      <c r="C848" s="2"/>
      <c r="E848" s="3"/>
      <c r="H848" s="6"/>
    </row>
    <row r="849" spans="3:8" ht="15.75" customHeight="1">
      <c r="C849" s="2"/>
      <c r="E849" s="3"/>
      <c r="H849" s="6"/>
    </row>
    <row r="850" spans="3:8" ht="15.75" customHeight="1">
      <c r="C850" s="2"/>
      <c r="E850" s="3"/>
      <c r="H850" s="6"/>
    </row>
    <row r="851" spans="3:8" ht="15.75" customHeight="1">
      <c r="C851" s="2"/>
      <c r="E851" s="3"/>
      <c r="H851" s="6"/>
    </row>
    <row r="852" spans="3:8" ht="15.75" customHeight="1">
      <c r="C852" s="2"/>
      <c r="E852" s="3"/>
      <c r="H852" s="6"/>
    </row>
    <row r="853" spans="3:8" ht="15.75" customHeight="1">
      <c r="C853" s="2"/>
      <c r="E853" s="3"/>
      <c r="H853" s="6"/>
    </row>
    <row r="854" spans="3:8" ht="15.75" customHeight="1">
      <c r="C854" s="2"/>
      <c r="E854" s="3"/>
      <c r="H854" s="6"/>
    </row>
    <row r="855" spans="3:8" ht="15.75" customHeight="1">
      <c r="C855" s="2"/>
      <c r="E855" s="3"/>
      <c r="H855" s="6"/>
    </row>
    <row r="856" spans="3:8" ht="15.75" customHeight="1">
      <c r="C856" s="2"/>
      <c r="E856" s="3"/>
      <c r="H856" s="6"/>
    </row>
    <row r="857" spans="3:8" ht="15.75" customHeight="1">
      <c r="C857" s="2"/>
      <c r="E857" s="3"/>
      <c r="H857" s="6"/>
    </row>
    <row r="858" spans="3:8" ht="15.75" customHeight="1">
      <c r="C858" s="2"/>
      <c r="E858" s="3"/>
      <c r="H858" s="6"/>
    </row>
    <row r="859" spans="3:8" ht="15.75" customHeight="1">
      <c r="C859" s="2"/>
      <c r="E859" s="3"/>
      <c r="H859" s="6"/>
    </row>
    <row r="860" spans="3:8" ht="15.75" customHeight="1">
      <c r="C860" s="2"/>
      <c r="E860" s="3"/>
      <c r="H860" s="6"/>
    </row>
    <row r="861" spans="3:8" ht="15.75" customHeight="1">
      <c r="C861" s="2"/>
      <c r="E861" s="3"/>
      <c r="H861" s="6"/>
    </row>
    <row r="862" spans="3:8" ht="15.75" customHeight="1">
      <c r="C862" s="2"/>
      <c r="E862" s="3"/>
      <c r="H862" s="6"/>
    </row>
    <row r="863" spans="3:8" ht="15.75" customHeight="1">
      <c r="C863" s="2"/>
      <c r="E863" s="3"/>
      <c r="H863" s="6"/>
    </row>
    <row r="864" spans="3:8" ht="15.75" customHeight="1">
      <c r="C864" s="2"/>
      <c r="E864" s="3"/>
      <c r="H864" s="6"/>
    </row>
    <row r="865" spans="3:8" ht="15.75" customHeight="1">
      <c r="C865" s="2"/>
      <c r="E865" s="3"/>
      <c r="H865" s="6"/>
    </row>
    <row r="866" spans="3:8" ht="15.75" customHeight="1">
      <c r="C866" s="2"/>
      <c r="E866" s="3"/>
      <c r="H866" s="6"/>
    </row>
    <row r="867" spans="3:8" ht="15.75" customHeight="1">
      <c r="C867" s="2"/>
      <c r="E867" s="3"/>
      <c r="H867" s="6"/>
    </row>
    <row r="868" spans="3:8" ht="15.75" customHeight="1">
      <c r="C868" s="2"/>
      <c r="E868" s="3"/>
      <c r="H868" s="6"/>
    </row>
    <row r="869" spans="3:8" ht="15.75" customHeight="1">
      <c r="C869" s="2"/>
      <c r="E869" s="3"/>
      <c r="H869" s="6"/>
    </row>
    <row r="870" spans="3:8" ht="15.75" customHeight="1">
      <c r="C870" s="2"/>
      <c r="E870" s="3"/>
      <c r="H870" s="6"/>
    </row>
    <row r="871" spans="3:8" ht="15.75" customHeight="1">
      <c r="C871" s="2"/>
      <c r="E871" s="3"/>
      <c r="H871" s="6"/>
    </row>
    <row r="872" spans="3:8" ht="15.75" customHeight="1">
      <c r="C872" s="2"/>
      <c r="E872" s="3"/>
      <c r="H872" s="6"/>
    </row>
    <row r="873" spans="3:8" ht="15.75" customHeight="1">
      <c r="C873" s="2"/>
      <c r="E873" s="3"/>
      <c r="H873" s="6"/>
    </row>
    <row r="874" spans="3:8" ht="15.75" customHeight="1">
      <c r="C874" s="2"/>
      <c r="E874" s="3"/>
      <c r="H874" s="6"/>
    </row>
    <row r="875" spans="3:8" ht="15.75" customHeight="1">
      <c r="C875" s="2"/>
      <c r="E875" s="3"/>
      <c r="H875" s="6"/>
    </row>
    <row r="876" spans="3:8" ht="15.75" customHeight="1">
      <c r="C876" s="2"/>
      <c r="E876" s="3"/>
      <c r="H876" s="6"/>
    </row>
    <row r="877" spans="3:8" ht="15.75" customHeight="1">
      <c r="C877" s="2"/>
      <c r="E877" s="3"/>
      <c r="H877" s="6"/>
    </row>
    <row r="878" spans="3:8" ht="15.75" customHeight="1">
      <c r="C878" s="2"/>
      <c r="E878" s="3"/>
      <c r="H878" s="6"/>
    </row>
    <row r="879" spans="3:8" ht="15.75" customHeight="1">
      <c r="C879" s="2"/>
      <c r="E879" s="3"/>
      <c r="H879" s="6"/>
    </row>
    <row r="880" spans="3:8" ht="15.75" customHeight="1">
      <c r="C880" s="2"/>
      <c r="E880" s="3"/>
      <c r="H880" s="6"/>
    </row>
    <row r="881" spans="3:8" ht="15.75" customHeight="1">
      <c r="C881" s="2"/>
      <c r="E881" s="3"/>
      <c r="H881" s="6"/>
    </row>
    <row r="882" spans="3:8" ht="15.75" customHeight="1">
      <c r="C882" s="2"/>
      <c r="E882" s="3"/>
      <c r="H882" s="6"/>
    </row>
    <row r="883" spans="3:8" ht="15.75" customHeight="1">
      <c r="C883" s="2"/>
      <c r="E883" s="3"/>
      <c r="H883" s="6"/>
    </row>
    <row r="884" spans="3:8" ht="15.75" customHeight="1">
      <c r="C884" s="2"/>
      <c r="E884" s="3"/>
      <c r="H884" s="6"/>
    </row>
    <row r="885" spans="3:8" ht="15.75" customHeight="1">
      <c r="C885" s="2"/>
      <c r="E885" s="3"/>
      <c r="H885" s="6"/>
    </row>
    <row r="886" spans="3:8" ht="15.75" customHeight="1">
      <c r="C886" s="2"/>
      <c r="E886" s="3"/>
      <c r="H886" s="6"/>
    </row>
    <row r="887" spans="3:8" ht="15.75" customHeight="1">
      <c r="C887" s="2"/>
      <c r="E887" s="3"/>
      <c r="H887" s="6"/>
    </row>
    <row r="888" spans="3:8" ht="15.75" customHeight="1">
      <c r="C888" s="2"/>
      <c r="E888" s="3"/>
      <c r="H888" s="6"/>
    </row>
    <row r="889" spans="3:8" ht="15.75" customHeight="1">
      <c r="C889" s="2"/>
      <c r="E889" s="3"/>
      <c r="H889" s="6"/>
    </row>
    <row r="890" spans="3:8" ht="15.75" customHeight="1">
      <c r="C890" s="2"/>
      <c r="E890" s="3"/>
      <c r="H890" s="6"/>
    </row>
    <row r="891" spans="3:8" ht="15.75" customHeight="1">
      <c r="C891" s="2"/>
      <c r="E891" s="3"/>
      <c r="H891" s="6"/>
    </row>
    <row r="892" spans="3:8" ht="15.75" customHeight="1">
      <c r="C892" s="2"/>
      <c r="E892" s="3"/>
      <c r="H892" s="6"/>
    </row>
    <row r="893" spans="3:8" ht="15.75" customHeight="1">
      <c r="C893" s="2"/>
      <c r="E893" s="3"/>
      <c r="H893" s="6"/>
    </row>
    <row r="894" spans="3:8" ht="15.75" customHeight="1">
      <c r="C894" s="2"/>
      <c r="E894" s="3"/>
      <c r="H894" s="6"/>
    </row>
    <row r="895" spans="3:8" ht="15.75" customHeight="1">
      <c r="C895" s="2"/>
      <c r="E895" s="3"/>
      <c r="H895" s="6"/>
    </row>
    <row r="896" spans="3:8" ht="15.75" customHeight="1">
      <c r="C896" s="2"/>
      <c r="E896" s="3"/>
      <c r="H896" s="6"/>
    </row>
    <row r="897" spans="3:8" ht="15.75" customHeight="1">
      <c r="C897" s="2"/>
      <c r="E897" s="3"/>
      <c r="H897" s="6"/>
    </row>
    <row r="898" spans="3:8" ht="15.75" customHeight="1">
      <c r="C898" s="2"/>
      <c r="E898" s="3"/>
      <c r="H898" s="6"/>
    </row>
    <row r="899" spans="3:8" ht="15.75" customHeight="1">
      <c r="C899" s="2"/>
      <c r="E899" s="3"/>
      <c r="H899" s="6"/>
    </row>
    <row r="900" spans="3:8" ht="15.75" customHeight="1">
      <c r="C900" s="2"/>
      <c r="E900" s="3"/>
      <c r="H900" s="6"/>
    </row>
    <row r="901" spans="3:8" ht="15.75" customHeight="1">
      <c r="C901" s="2"/>
      <c r="E901" s="3"/>
      <c r="H901" s="6"/>
    </row>
    <row r="902" spans="3:8" ht="15.75" customHeight="1">
      <c r="C902" s="2"/>
      <c r="E902" s="3"/>
      <c r="H902" s="6"/>
    </row>
    <row r="903" spans="3:8" ht="15.75" customHeight="1">
      <c r="C903" s="2"/>
      <c r="E903" s="3"/>
      <c r="H903" s="6"/>
    </row>
    <row r="904" spans="3:8" ht="15.75" customHeight="1">
      <c r="C904" s="2"/>
      <c r="E904" s="3"/>
      <c r="H904" s="6"/>
    </row>
    <row r="905" spans="3:8" ht="15.75" customHeight="1">
      <c r="C905" s="2"/>
      <c r="E905" s="3"/>
      <c r="H905" s="6"/>
    </row>
    <row r="906" spans="3:8" ht="15.75" customHeight="1">
      <c r="C906" s="2"/>
      <c r="E906" s="3"/>
      <c r="H906" s="6"/>
    </row>
    <row r="907" spans="3:8" ht="15.75" customHeight="1">
      <c r="C907" s="2"/>
      <c r="E907" s="3"/>
      <c r="H907" s="6"/>
    </row>
    <row r="908" spans="3:8" ht="15.75" customHeight="1">
      <c r="C908" s="2"/>
      <c r="E908" s="3"/>
      <c r="H908" s="6"/>
    </row>
    <row r="909" spans="3:8" ht="15.75" customHeight="1">
      <c r="C909" s="2"/>
      <c r="E909" s="3"/>
      <c r="H909" s="6"/>
    </row>
    <row r="910" spans="3:8" ht="15.75" customHeight="1">
      <c r="C910" s="2"/>
      <c r="E910" s="3"/>
      <c r="H910" s="6"/>
    </row>
    <row r="911" spans="3:8" ht="15.75" customHeight="1">
      <c r="C911" s="2"/>
      <c r="E911" s="3"/>
      <c r="H911" s="6"/>
    </row>
    <row r="912" spans="3:8" ht="15.75" customHeight="1">
      <c r="C912" s="2"/>
      <c r="E912" s="3"/>
      <c r="H912" s="6"/>
    </row>
    <row r="913" spans="3:8" ht="15.75" customHeight="1">
      <c r="C913" s="2"/>
      <c r="E913" s="3"/>
      <c r="H913" s="6"/>
    </row>
    <row r="914" spans="3:8" ht="15.75" customHeight="1">
      <c r="C914" s="2"/>
      <c r="E914" s="3"/>
      <c r="H914" s="6"/>
    </row>
    <row r="915" spans="3:8" ht="15.75" customHeight="1">
      <c r="C915" s="2"/>
      <c r="E915" s="3"/>
      <c r="H915" s="6"/>
    </row>
    <row r="916" spans="3:8" ht="15.75" customHeight="1">
      <c r="C916" s="2"/>
      <c r="E916" s="3"/>
      <c r="H916" s="6"/>
    </row>
    <row r="917" spans="3:8" ht="15.75" customHeight="1">
      <c r="C917" s="2"/>
      <c r="E917" s="3"/>
      <c r="H917" s="6"/>
    </row>
    <row r="918" spans="3:8" ht="15.75" customHeight="1">
      <c r="C918" s="2"/>
      <c r="E918" s="3"/>
      <c r="H918" s="6"/>
    </row>
    <row r="919" spans="3:8" ht="15.75" customHeight="1">
      <c r="C919" s="2"/>
      <c r="E919" s="3"/>
      <c r="H919" s="6"/>
    </row>
    <row r="920" spans="3:8" ht="15.75" customHeight="1">
      <c r="C920" s="2"/>
      <c r="E920" s="3"/>
      <c r="H920" s="6"/>
    </row>
    <row r="921" spans="3:8" ht="15.75" customHeight="1">
      <c r="C921" s="2"/>
      <c r="E921" s="3"/>
      <c r="H921" s="6"/>
    </row>
    <row r="922" spans="3:8" ht="15.75" customHeight="1">
      <c r="C922" s="2"/>
      <c r="E922" s="3"/>
      <c r="H922" s="6"/>
    </row>
    <row r="923" spans="3:8" ht="15.75" customHeight="1">
      <c r="C923" s="2"/>
      <c r="E923" s="3"/>
      <c r="H923" s="6"/>
    </row>
    <row r="924" spans="3:8" ht="15.75" customHeight="1">
      <c r="C924" s="2"/>
      <c r="E924" s="3"/>
      <c r="H924" s="6"/>
    </row>
    <row r="925" spans="3:8" ht="15.75" customHeight="1">
      <c r="C925" s="2"/>
      <c r="E925" s="3"/>
      <c r="H925" s="6"/>
    </row>
    <row r="926" spans="3:8" ht="15.75" customHeight="1">
      <c r="C926" s="2"/>
      <c r="E926" s="3"/>
      <c r="H926" s="6"/>
    </row>
    <row r="927" spans="3:8" ht="15.75" customHeight="1">
      <c r="C927" s="2"/>
      <c r="E927" s="3"/>
      <c r="H927" s="6"/>
    </row>
    <row r="928" spans="3:8" ht="15.75" customHeight="1">
      <c r="C928" s="2"/>
      <c r="E928" s="3"/>
      <c r="H928" s="6"/>
    </row>
    <row r="929" spans="3:8" ht="15.75" customHeight="1">
      <c r="C929" s="2"/>
      <c r="E929" s="3"/>
      <c r="H929" s="6"/>
    </row>
    <row r="930" spans="3:8" ht="15.75" customHeight="1">
      <c r="C930" s="2"/>
      <c r="E930" s="3"/>
      <c r="H930" s="6"/>
    </row>
    <row r="931" spans="3:8" ht="15.75" customHeight="1">
      <c r="C931" s="2"/>
      <c r="E931" s="3"/>
      <c r="H931" s="6"/>
    </row>
    <row r="932" spans="3:8" ht="15.75" customHeight="1">
      <c r="C932" s="2"/>
      <c r="E932" s="3"/>
      <c r="H932" s="6"/>
    </row>
    <row r="933" spans="3:8" ht="15.75" customHeight="1">
      <c r="C933" s="2"/>
      <c r="E933" s="3"/>
      <c r="H933" s="6"/>
    </row>
    <row r="934" spans="3:8" ht="15.75" customHeight="1">
      <c r="C934" s="2"/>
      <c r="E934" s="3"/>
      <c r="H934" s="6"/>
    </row>
    <row r="935" spans="3:8" ht="15.75" customHeight="1">
      <c r="C935" s="2"/>
      <c r="E935" s="3"/>
      <c r="H935" s="6"/>
    </row>
    <row r="936" spans="3:8" ht="15.75" customHeight="1">
      <c r="C936" s="2"/>
      <c r="E936" s="3"/>
      <c r="H936" s="6"/>
    </row>
    <row r="937" spans="3:8" ht="15.75" customHeight="1">
      <c r="C937" s="2"/>
      <c r="E937" s="3"/>
      <c r="H937" s="6"/>
    </row>
    <row r="938" spans="3:8" ht="15.75" customHeight="1">
      <c r="C938" s="2"/>
      <c r="E938" s="3"/>
      <c r="H938" s="6"/>
    </row>
    <row r="939" spans="3:8" ht="15.75" customHeight="1">
      <c r="C939" s="2"/>
      <c r="E939" s="3"/>
      <c r="H939" s="6"/>
    </row>
    <row r="940" spans="3:8" ht="15.75" customHeight="1">
      <c r="C940" s="2"/>
      <c r="E940" s="3"/>
      <c r="H940" s="6"/>
    </row>
    <row r="941" spans="3:8" ht="15.75" customHeight="1">
      <c r="C941" s="2"/>
      <c r="E941" s="3"/>
      <c r="H941" s="6"/>
    </row>
    <row r="942" spans="3:8" ht="15.75" customHeight="1">
      <c r="C942" s="2"/>
      <c r="E942" s="3"/>
      <c r="H942" s="6"/>
    </row>
    <row r="943" spans="3:8" ht="15.75" customHeight="1">
      <c r="C943" s="2"/>
      <c r="E943" s="3"/>
      <c r="H943" s="6"/>
    </row>
    <row r="944" spans="3:8" ht="15.75" customHeight="1">
      <c r="C944" s="2"/>
      <c r="E944" s="3"/>
      <c r="H944" s="6"/>
    </row>
    <row r="945" spans="3:8" ht="15.75" customHeight="1">
      <c r="C945" s="2"/>
      <c r="E945" s="3"/>
      <c r="H945" s="6"/>
    </row>
    <row r="946" spans="3:8" ht="15.75" customHeight="1">
      <c r="C946" s="2"/>
      <c r="E946" s="3"/>
      <c r="H946" s="6"/>
    </row>
    <row r="947" spans="3:8" ht="15.75" customHeight="1">
      <c r="C947" s="2"/>
      <c r="E947" s="3"/>
      <c r="H947" s="6"/>
    </row>
    <row r="948" spans="3:8" ht="15.75" customHeight="1">
      <c r="C948" s="2"/>
      <c r="E948" s="3"/>
      <c r="H948" s="6"/>
    </row>
    <row r="949" spans="3:8" ht="15.75" customHeight="1">
      <c r="C949" s="2"/>
      <c r="E949" s="3"/>
      <c r="H949" s="6"/>
    </row>
    <row r="950" spans="3:8" ht="15.75" customHeight="1">
      <c r="C950" s="2"/>
      <c r="E950" s="3"/>
      <c r="H950" s="6"/>
    </row>
    <row r="951" spans="3:8" ht="15.75" customHeight="1">
      <c r="C951" s="2"/>
      <c r="E951" s="3"/>
      <c r="H951" s="6"/>
    </row>
    <row r="952" spans="3:8" ht="15.75" customHeight="1">
      <c r="C952" s="2"/>
      <c r="E952" s="3"/>
      <c r="H952" s="6"/>
    </row>
    <row r="953" spans="3:8" ht="15.75" customHeight="1">
      <c r="C953" s="2"/>
      <c r="E953" s="3"/>
      <c r="H953" s="6"/>
    </row>
    <row r="954" spans="3:8" ht="15.75" customHeight="1">
      <c r="C954" s="2"/>
      <c r="E954" s="3"/>
      <c r="H954" s="6"/>
    </row>
    <row r="955" spans="3:8" ht="15.75" customHeight="1">
      <c r="C955" s="2"/>
      <c r="E955" s="3"/>
      <c r="H955" s="6"/>
    </row>
    <row r="956" spans="3:8" ht="15.75" customHeight="1">
      <c r="C956" s="2"/>
      <c r="E956" s="3"/>
      <c r="H956" s="6"/>
    </row>
    <row r="957" spans="3:8" ht="15.75" customHeight="1">
      <c r="C957" s="2"/>
      <c r="E957" s="3"/>
      <c r="H957" s="6"/>
    </row>
    <row r="958" spans="3:8" ht="15.75" customHeight="1">
      <c r="C958" s="2"/>
      <c r="E958" s="3"/>
      <c r="H958" s="6"/>
    </row>
    <row r="959" spans="3:8" ht="15.75" customHeight="1">
      <c r="C959" s="2"/>
      <c r="E959" s="3"/>
      <c r="H959" s="6"/>
    </row>
    <row r="960" spans="3:8" ht="15.75" customHeight="1">
      <c r="C960" s="2"/>
      <c r="E960" s="3"/>
      <c r="H960" s="6"/>
    </row>
    <row r="961" spans="3:8" ht="15.75" customHeight="1">
      <c r="C961" s="2"/>
      <c r="E961" s="3"/>
      <c r="H961" s="6"/>
    </row>
    <row r="962" spans="3:8" ht="15.75" customHeight="1">
      <c r="C962" s="2"/>
      <c r="E962" s="3"/>
      <c r="H962" s="6"/>
    </row>
    <row r="963" spans="3:8" ht="15.75" customHeight="1">
      <c r="C963" s="2"/>
      <c r="E963" s="3"/>
      <c r="H963" s="6"/>
    </row>
    <row r="964" spans="3:8" ht="15.75" customHeight="1">
      <c r="C964" s="2"/>
      <c r="E964" s="3"/>
      <c r="H964" s="6"/>
    </row>
    <row r="965" spans="3:8" ht="15.75" customHeight="1">
      <c r="C965" s="2"/>
      <c r="E965" s="3"/>
      <c r="H965" s="6"/>
    </row>
    <row r="966" spans="3:8" ht="15.75" customHeight="1">
      <c r="C966" s="2"/>
      <c r="E966" s="3"/>
      <c r="H966" s="6"/>
    </row>
    <row r="967" spans="3:8" ht="15.75" customHeight="1">
      <c r="C967" s="2"/>
      <c r="E967" s="3"/>
      <c r="H967" s="6"/>
    </row>
    <row r="968" spans="3:8" ht="15.75" customHeight="1">
      <c r="C968" s="2"/>
      <c r="E968" s="3"/>
      <c r="H968" s="6"/>
    </row>
    <row r="969" spans="3:8" ht="15.75" customHeight="1">
      <c r="C969" s="2"/>
      <c r="E969" s="3"/>
      <c r="H969" s="6"/>
    </row>
    <row r="970" spans="3:8" ht="15.75" customHeight="1">
      <c r="C970" s="2"/>
      <c r="E970" s="3"/>
      <c r="H970" s="6"/>
    </row>
    <row r="971" spans="3:8" ht="15.75" customHeight="1">
      <c r="C971" s="2"/>
      <c r="E971" s="3"/>
      <c r="H971" s="6"/>
    </row>
    <row r="972" spans="3:8" ht="15.75" customHeight="1">
      <c r="C972" s="2"/>
      <c r="E972" s="3"/>
      <c r="H972" s="6"/>
    </row>
    <row r="973" spans="3:8" ht="15.75" customHeight="1">
      <c r="C973" s="2"/>
      <c r="E973" s="3"/>
      <c r="H973" s="6"/>
    </row>
    <row r="974" spans="3:8" ht="15.75" customHeight="1">
      <c r="C974" s="2"/>
      <c r="E974" s="3"/>
      <c r="H974" s="6"/>
    </row>
    <row r="975" spans="3:8" ht="15.75" customHeight="1">
      <c r="C975" s="2"/>
      <c r="E975" s="3"/>
      <c r="H975" s="6"/>
    </row>
    <row r="976" spans="3:8" ht="15.75" customHeight="1">
      <c r="C976" s="2"/>
      <c r="E976" s="3"/>
      <c r="H976" s="6"/>
    </row>
    <row r="977" spans="3:8" ht="15.75" customHeight="1">
      <c r="C977" s="2"/>
      <c r="E977" s="3"/>
      <c r="H977" s="6"/>
    </row>
    <row r="978" spans="3:8" ht="15.75" customHeight="1">
      <c r="C978" s="2"/>
      <c r="E978" s="3"/>
      <c r="H978" s="6"/>
    </row>
    <row r="979" spans="3:8" ht="15.75" customHeight="1">
      <c r="C979" s="2"/>
      <c r="E979" s="3"/>
      <c r="H979" s="6"/>
    </row>
    <row r="980" spans="3:8" ht="15.75" customHeight="1">
      <c r="C980" s="2"/>
      <c r="E980" s="3"/>
      <c r="H980" s="6"/>
    </row>
    <row r="981" spans="3:8" ht="15.75" customHeight="1">
      <c r="C981" s="2"/>
      <c r="E981" s="3"/>
      <c r="H981" s="6"/>
    </row>
    <row r="982" spans="3:8" ht="15.75" customHeight="1">
      <c r="C982" s="2"/>
      <c r="E982" s="3"/>
      <c r="H982" s="6"/>
    </row>
    <row r="983" spans="3:8" ht="15.75" customHeight="1">
      <c r="C983" s="2"/>
      <c r="E983" s="3"/>
      <c r="H983" s="6"/>
    </row>
    <row r="984" spans="3:8" ht="15.75" customHeight="1">
      <c r="C984" s="2"/>
      <c r="E984" s="3"/>
      <c r="H984" s="6"/>
    </row>
    <row r="985" spans="3:8" ht="15.75" customHeight="1">
      <c r="C985" s="2"/>
      <c r="E985" s="3"/>
      <c r="H985" s="6"/>
    </row>
    <row r="986" spans="3:8" ht="15.75" customHeight="1">
      <c r="C986" s="2"/>
      <c r="E986" s="3"/>
      <c r="H986" s="6"/>
    </row>
    <row r="987" spans="3:8" ht="15.75" customHeight="1">
      <c r="C987" s="2"/>
      <c r="E987" s="3"/>
      <c r="H987" s="6"/>
    </row>
    <row r="988" spans="3:8" ht="15.75" customHeight="1">
      <c r="C988" s="2"/>
      <c r="E988" s="3"/>
      <c r="H988" s="6"/>
    </row>
    <row r="989" spans="3:8" ht="15.75" customHeight="1">
      <c r="C989" s="2"/>
      <c r="E989" s="3"/>
      <c r="H989" s="6"/>
    </row>
    <row r="990" spans="3:8" ht="15.75" customHeight="1">
      <c r="C990" s="2"/>
      <c r="E990" s="3"/>
      <c r="H990" s="6"/>
    </row>
    <row r="991" spans="3:8" ht="15.75" customHeight="1">
      <c r="C991" s="2"/>
      <c r="E991" s="3"/>
      <c r="H991" s="6"/>
    </row>
    <row r="992" spans="3:8" ht="15.75" customHeight="1">
      <c r="C992" s="2"/>
      <c r="E992" s="3"/>
      <c r="H992" s="6"/>
    </row>
    <row r="993" spans="3:8" ht="15.75" customHeight="1">
      <c r="C993" s="2"/>
      <c r="E993" s="3"/>
      <c r="H993" s="6"/>
    </row>
    <row r="994" spans="3:8" ht="15.75" customHeight="1">
      <c r="C994" s="2"/>
      <c r="E994" s="3"/>
      <c r="H994" s="6"/>
    </row>
    <row r="995" spans="3:8" ht="15.75" customHeight="1">
      <c r="C995" s="2"/>
      <c r="E995" s="3"/>
      <c r="H995" s="6"/>
    </row>
    <row r="996" spans="3:8" ht="15.75" customHeight="1">
      <c r="C996" s="2"/>
      <c r="E996" s="3"/>
      <c r="H996" s="6"/>
    </row>
    <row r="997" spans="3:8" ht="15.75" customHeight="1">
      <c r="C997" s="2"/>
      <c r="E997" s="3"/>
      <c r="H997" s="6"/>
    </row>
    <row r="998" spans="3:8" ht="15.75" customHeight="1">
      <c r="C998" s="2"/>
      <c r="E998" s="3"/>
      <c r="H998" s="6"/>
    </row>
    <row r="999" spans="3:8" ht="15.75" customHeight="1">
      <c r="C999" s="2"/>
      <c r="E999" s="3"/>
      <c r="H999" s="6"/>
    </row>
    <row r="1000" spans="3:8" ht="15.75" customHeight="1">
      <c r="C1000" s="2"/>
      <c r="E1000" s="3"/>
      <c r="H1000" s="6"/>
    </row>
    <row r="1001" spans="3:8" ht="15.75" customHeight="1">
      <c r="C1001" s="2"/>
      <c r="E1001" s="3"/>
      <c r="H1001" s="6"/>
    </row>
    <row r="1002" spans="3:8" ht="15.75" customHeight="1">
      <c r="C1002" s="2"/>
      <c r="E1002" s="3"/>
      <c r="H1002" s="6"/>
    </row>
    <row r="1003" spans="3:8" ht="15.75" customHeight="1">
      <c r="C1003" s="2"/>
      <c r="E1003" s="3"/>
      <c r="H1003" s="6"/>
    </row>
    <row r="1004" spans="3:8" ht="15.75" customHeight="1">
      <c r="C1004" s="2"/>
      <c r="E1004" s="3"/>
      <c r="H1004" s="6"/>
    </row>
    <row r="1005" spans="3:8" ht="15.75" customHeight="1">
      <c r="C1005" s="2"/>
      <c r="E1005" s="3"/>
      <c r="H1005" s="6"/>
    </row>
    <row r="1006" spans="3:8" ht="15.75" customHeight="1">
      <c r="C1006" s="2"/>
      <c r="E1006" s="3"/>
      <c r="H1006" s="6"/>
    </row>
    <row r="1007" spans="3:8" ht="15.75" customHeight="1">
      <c r="C1007" s="2"/>
      <c r="E1007" s="3"/>
      <c r="H1007" s="6"/>
    </row>
    <row r="1008" spans="3:8" ht="15.75" customHeight="1">
      <c r="C1008" s="2"/>
      <c r="E1008" s="3"/>
      <c r="H1008" s="6"/>
    </row>
    <row r="1009" spans="3:8" ht="15.75" customHeight="1">
      <c r="C1009" s="2"/>
      <c r="E1009" s="3"/>
      <c r="H1009" s="6"/>
    </row>
    <row r="1010" spans="3:8" ht="15.75" customHeight="1">
      <c r="C1010" s="2"/>
      <c r="E1010" s="3"/>
      <c r="H1010" s="6"/>
    </row>
    <row r="1011" spans="3:8" ht="15.75" customHeight="1">
      <c r="C1011" s="2"/>
      <c r="E1011" s="3"/>
      <c r="H1011" s="6"/>
    </row>
    <row r="1012" spans="3:8" ht="15.75" customHeight="1">
      <c r="C1012" s="2"/>
      <c r="E1012" s="3"/>
      <c r="H1012" s="6"/>
    </row>
    <row r="1013" spans="3:8" ht="15.75" customHeight="1">
      <c r="C1013" s="2"/>
      <c r="E1013" s="3"/>
      <c r="H1013" s="6"/>
    </row>
    <row r="1014" spans="3:8" ht="15.75" customHeight="1">
      <c r="C1014" s="2"/>
      <c r="E1014" s="3"/>
      <c r="H1014" s="6"/>
    </row>
    <row r="1015" spans="3:8" ht="15.75" customHeight="1">
      <c r="C1015" s="2"/>
      <c r="E1015" s="3"/>
      <c r="H1015" s="6"/>
    </row>
    <row r="1016" spans="3:8" ht="15.75" customHeight="1">
      <c r="C1016" s="2"/>
      <c r="E1016" s="3"/>
      <c r="H1016" s="6"/>
    </row>
    <row r="1017" spans="3:8" ht="15.75" customHeight="1">
      <c r="C1017" s="2"/>
      <c r="E1017" s="3"/>
      <c r="H1017" s="6"/>
    </row>
    <row r="1018" spans="3:8" ht="15.75" customHeight="1">
      <c r="C1018" s="2"/>
      <c r="E1018" s="3"/>
      <c r="H1018" s="6"/>
    </row>
    <row r="1019" spans="3:8" ht="15.75" customHeight="1">
      <c r="C1019" s="2"/>
      <c r="E1019" s="3"/>
      <c r="H1019" s="6"/>
    </row>
    <row r="1020" spans="3:8" ht="15.75" customHeight="1">
      <c r="C1020" s="2"/>
      <c r="E1020" s="3"/>
      <c r="H1020" s="6"/>
    </row>
    <row r="1021" spans="3:8" ht="15.75" customHeight="1">
      <c r="C1021" s="2"/>
      <c r="E1021" s="3"/>
      <c r="H1021" s="6"/>
    </row>
    <row r="1022" spans="3:8" ht="15.75" customHeight="1">
      <c r="C1022" s="2"/>
      <c r="E1022" s="3"/>
      <c r="H1022" s="6"/>
    </row>
    <row r="1023" spans="3:8" ht="15.75" customHeight="1">
      <c r="C1023" s="2"/>
      <c r="E1023" s="3"/>
      <c r="H1023" s="6"/>
    </row>
    <row r="1024" spans="3:8" ht="15.75" customHeight="1">
      <c r="C1024" s="2"/>
      <c r="E1024" s="3"/>
      <c r="H1024" s="6"/>
    </row>
    <row r="1025" spans="3:8" ht="15.75" customHeight="1">
      <c r="C1025" s="2"/>
      <c r="E1025" s="3"/>
      <c r="H1025" s="6"/>
    </row>
    <row r="1026" spans="3:8" ht="15.75" customHeight="1">
      <c r="C1026" s="2"/>
      <c r="E1026" s="3"/>
      <c r="H1026" s="6"/>
    </row>
    <row r="1027" spans="3:8" ht="15.75" customHeight="1">
      <c r="C1027" s="2"/>
      <c r="E1027" s="3"/>
      <c r="H1027" s="6"/>
    </row>
    <row r="1028" spans="3:8" ht="15.75" customHeight="1">
      <c r="C1028" s="2"/>
      <c r="E1028" s="3"/>
      <c r="H1028" s="6"/>
    </row>
    <row r="1029" spans="3:8" ht="15.75" customHeight="1">
      <c r="C1029" s="2"/>
      <c r="E1029" s="3"/>
      <c r="H1029" s="6"/>
    </row>
    <row r="1030" spans="3:8" ht="15.75" customHeight="1">
      <c r="C1030" s="2"/>
      <c r="E1030" s="3"/>
      <c r="H1030" s="6"/>
    </row>
    <row r="1031" spans="3:8" ht="15.75" customHeight="1">
      <c r="C1031" s="2"/>
      <c r="E1031" s="3"/>
      <c r="H1031" s="6"/>
    </row>
  </sheetData>
  <mergeCells count="46">
    <mergeCell ref="L231:L242"/>
    <mergeCell ref="V231:V242"/>
    <mergeCell ref="AH231:AH242"/>
    <mergeCell ref="B244:B255"/>
    <mergeCell ref="L244:L255"/>
    <mergeCell ref="V244:V255"/>
    <mergeCell ref="B205:J205"/>
    <mergeCell ref="L205:T205"/>
    <mergeCell ref="V205:AD205"/>
    <mergeCell ref="B207:B218"/>
    <mergeCell ref="V207:V218"/>
    <mergeCell ref="B219:B230"/>
    <mergeCell ref="V219:V230"/>
    <mergeCell ref="AH207:AH218"/>
    <mergeCell ref="AH219:AH230"/>
    <mergeCell ref="L207:L218"/>
    <mergeCell ref="L219:L230"/>
    <mergeCell ref="B231:B242"/>
    <mergeCell ref="B15:J15"/>
    <mergeCell ref="B17:B28"/>
    <mergeCell ref="B29:B40"/>
    <mergeCell ref="B41:B52"/>
    <mergeCell ref="B54:B65"/>
    <mergeCell ref="B74:J74"/>
    <mergeCell ref="B76:B87"/>
    <mergeCell ref="L132:T132"/>
    <mergeCell ref="L134:L145"/>
    <mergeCell ref="AG133:AG144"/>
    <mergeCell ref="AG145:AG156"/>
    <mergeCell ref="AG157:AG168"/>
    <mergeCell ref="B88:B99"/>
    <mergeCell ref="B100:B111"/>
    <mergeCell ref="B113:B124"/>
    <mergeCell ref="B132:J132"/>
    <mergeCell ref="V132:AD132"/>
    <mergeCell ref="B134:B145"/>
    <mergeCell ref="V134:V145"/>
    <mergeCell ref="V158:V169"/>
    <mergeCell ref="V171:V182"/>
    <mergeCell ref="B146:B157"/>
    <mergeCell ref="L146:L157"/>
    <mergeCell ref="V146:V157"/>
    <mergeCell ref="B158:B169"/>
    <mergeCell ref="L158:L169"/>
    <mergeCell ref="B171:B182"/>
    <mergeCell ref="L171:L182"/>
  </mergeCells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25" defaultRowHeight="15" customHeight="1"/>
  <cols>
    <col min="1" max="26" width="8.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CMSF Investors' Claim Settlement</dc:creator>
  <cp:lastModifiedBy>Shahriar Mahmud</cp:lastModifiedBy>
  <dcterms:created xsi:type="dcterms:W3CDTF">2024-12-11T08:47:38Z</dcterms:created>
  <dcterms:modified xsi:type="dcterms:W3CDTF">2024-12-25T14:54:17Z</dcterms:modified>
</cp:coreProperties>
</file>